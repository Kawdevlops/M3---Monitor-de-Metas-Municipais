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msubgbs01\COPLAN\FISICO\2026\Plano de Metas 2025-2028\Monitoramento Físico\"/>
    </mc:Choice>
  </mc:AlternateContent>
  <xr:revisionPtr revIDLastSave="0" documentId="13_ncr:1_{4CE76000-F86C-4FB2-B8F8-3C286B1DFB0C}" xr6:coauthVersionLast="47" xr6:coauthVersionMax="47" xr10:uidLastSave="{00000000-0000-0000-0000-000000000000}"/>
  <bookViews>
    <workbookView xWindow="28680" yWindow="-120" windowWidth="29040" windowHeight="15720" tabRatio="734" activeTab="2" xr2:uid="{C5B11B14-14F6-4F7F-A41B-A978CFEEBDCB}"/>
  </bookViews>
  <sheets>
    <sheet name="Ação 3.04" sheetId="7" r:id="rId1"/>
    <sheet name="Ação 3.05" sheetId="8" r:id="rId2"/>
    <sheet name="Ação 3.08" sheetId="9" r:id="rId3"/>
    <sheet name="Ação 4.05" sheetId="11" r:id="rId4"/>
    <sheet name="Ação 12.03" sheetId="10" r:id="rId5"/>
    <sheet name="Ação 53.04" sheetId="5" r:id="rId6"/>
    <sheet name="Meta 10" sheetId="12" r:id="rId7"/>
    <sheet name="Meta 48" sheetId="13" r:id="rId8"/>
    <sheet name="Meta 49" sheetId="4" r:id="rId9"/>
    <sheet name="Meta 50" sheetId="3" r:id="rId10"/>
    <sheet name="Meta 51" sheetId="2" r:id="rId11"/>
    <sheet name="Meta 116" sheetId="6" r:id="rId12"/>
  </sheets>
  <definedNames>
    <definedName name="_xlnm._FilterDatabase" localSheetId="4" hidden="1">'Ação 12.03'!$D$1:$D$156</definedName>
    <definedName name="_xlnm._FilterDatabase" localSheetId="8" hidden="1">'Meta 49'!$C$1:$C$100</definedName>
    <definedName name="_xlnm._FilterDatabase" localSheetId="10" hidden="1">'Meta 51'!$C$1:$C$100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6" i="10" l="1"/>
  <c r="D13" i="10"/>
  <c r="D19" i="10"/>
  <c r="D8" i="10"/>
  <c r="D24" i="10"/>
  <c r="D28" i="10"/>
  <c r="D33" i="10"/>
  <c r="D38" i="10"/>
  <c r="D42" i="10"/>
  <c r="D47" i="10"/>
  <c r="D51" i="10"/>
  <c r="D57" i="10"/>
  <c r="D61" i="10"/>
  <c r="D65" i="10"/>
  <c r="D69" i="10"/>
  <c r="D73" i="10"/>
  <c r="D77" i="10"/>
  <c r="D82" i="10"/>
  <c r="D88" i="10"/>
  <c r="D93" i="10"/>
  <c r="D97" i="10"/>
  <c r="D103" i="10"/>
  <c r="D109" i="10"/>
  <c r="D114" i="10"/>
  <c r="D118" i="10"/>
  <c r="D123" i="10"/>
  <c r="D127" i="10"/>
  <c r="D131" i="10"/>
  <c r="D135" i="10"/>
  <c r="D141" i="10"/>
  <c r="D145" i="10"/>
  <c r="D151" i="10"/>
  <c r="D4" i="10"/>
  <c r="D156" i="10" s="1"/>
  <c r="E24" i="10"/>
  <c r="F24" i="10"/>
  <c r="G24" i="10"/>
  <c r="H24" i="10"/>
  <c r="I24" i="10"/>
  <c r="J24" i="10"/>
  <c r="K24" i="10"/>
  <c r="L24" i="10"/>
  <c r="M24" i="10"/>
  <c r="N24" i="10"/>
  <c r="O24" i="10"/>
  <c r="P24" i="10"/>
  <c r="O4" i="10" l="1"/>
  <c r="O19" i="10"/>
  <c r="O61" i="10"/>
  <c r="O13" i="10" l="1"/>
  <c r="E4" i="10"/>
  <c r="F4" i="10"/>
  <c r="G4" i="10"/>
  <c r="H4" i="10"/>
  <c r="I4" i="10"/>
  <c r="J4" i="10"/>
  <c r="K4" i="10"/>
  <c r="L4" i="10"/>
  <c r="M4" i="10"/>
  <c r="N4" i="10"/>
  <c r="M97" i="10"/>
  <c r="M73" i="10"/>
  <c r="M47" i="10"/>
  <c r="M28" i="10"/>
  <c r="E151" i="10"/>
  <c r="F151" i="10"/>
  <c r="G151" i="10"/>
  <c r="H151" i="10"/>
  <c r="I151" i="10"/>
  <c r="J151" i="10"/>
  <c r="K151" i="10"/>
  <c r="L151" i="10"/>
  <c r="M151" i="10"/>
  <c r="N151" i="10"/>
  <c r="O151" i="10"/>
  <c r="E145" i="10"/>
  <c r="F145" i="10"/>
  <c r="G145" i="10"/>
  <c r="H145" i="10"/>
  <c r="I145" i="10"/>
  <c r="J145" i="10"/>
  <c r="K145" i="10"/>
  <c r="L145" i="10"/>
  <c r="M145" i="10"/>
  <c r="N145" i="10"/>
  <c r="O145" i="10"/>
  <c r="E141" i="10"/>
  <c r="F141" i="10"/>
  <c r="G141" i="10"/>
  <c r="H141" i="10"/>
  <c r="I141" i="10"/>
  <c r="J141" i="10"/>
  <c r="K141" i="10"/>
  <c r="L141" i="10"/>
  <c r="M141" i="10"/>
  <c r="N141" i="10"/>
  <c r="O141" i="10"/>
  <c r="E135" i="10"/>
  <c r="F135" i="10"/>
  <c r="G135" i="10"/>
  <c r="H135" i="10"/>
  <c r="I135" i="10"/>
  <c r="J135" i="10"/>
  <c r="K135" i="10"/>
  <c r="L135" i="10"/>
  <c r="M135" i="10"/>
  <c r="N135" i="10"/>
  <c r="O135" i="10"/>
  <c r="E131" i="10"/>
  <c r="F131" i="10"/>
  <c r="G131" i="10"/>
  <c r="H131" i="10"/>
  <c r="I131" i="10"/>
  <c r="J131" i="10"/>
  <c r="K131" i="10"/>
  <c r="L131" i="10"/>
  <c r="M131" i="10"/>
  <c r="N131" i="10"/>
  <c r="O131" i="10"/>
  <c r="E127" i="10"/>
  <c r="F127" i="10"/>
  <c r="G127" i="10"/>
  <c r="H127" i="10"/>
  <c r="I127" i="10"/>
  <c r="J127" i="10"/>
  <c r="K127" i="10"/>
  <c r="L127" i="10"/>
  <c r="M127" i="10"/>
  <c r="N127" i="10"/>
  <c r="O127" i="10"/>
  <c r="E123" i="10"/>
  <c r="F123" i="10"/>
  <c r="G123" i="10"/>
  <c r="H123" i="10"/>
  <c r="I123" i="10"/>
  <c r="J123" i="10"/>
  <c r="K123" i="10"/>
  <c r="L123" i="10"/>
  <c r="M123" i="10"/>
  <c r="N123" i="10"/>
  <c r="O123" i="10"/>
  <c r="E118" i="10"/>
  <c r="F118" i="10"/>
  <c r="G118" i="10"/>
  <c r="H118" i="10"/>
  <c r="I118" i="10"/>
  <c r="J118" i="10"/>
  <c r="K118" i="10"/>
  <c r="L118" i="10"/>
  <c r="M118" i="10"/>
  <c r="N118" i="10"/>
  <c r="O118" i="10"/>
  <c r="E114" i="10"/>
  <c r="F114" i="10"/>
  <c r="G114" i="10"/>
  <c r="H114" i="10"/>
  <c r="I114" i="10"/>
  <c r="J114" i="10"/>
  <c r="K114" i="10"/>
  <c r="L114" i="10"/>
  <c r="M114" i="10"/>
  <c r="N114" i="10"/>
  <c r="O114" i="10"/>
  <c r="E109" i="10"/>
  <c r="F109" i="10"/>
  <c r="G109" i="10"/>
  <c r="H109" i="10"/>
  <c r="I109" i="10"/>
  <c r="J109" i="10"/>
  <c r="K109" i="10"/>
  <c r="L109" i="10"/>
  <c r="M109" i="10"/>
  <c r="N109" i="10"/>
  <c r="O109" i="10"/>
  <c r="E103" i="10"/>
  <c r="F103" i="10"/>
  <c r="G103" i="10"/>
  <c r="H103" i="10"/>
  <c r="I103" i="10"/>
  <c r="J103" i="10"/>
  <c r="K103" i="10"/>
  <c r="L103" i="10"/>
  <c r="M103" i="10"/>
  <c r="N103" i="10"/>
  <c r="O103" i="10"/>
  <c r="E97" i="10"/>
  <c r="F97" i="10"/>
  <c r="G97" i="10"/>
  <c r="H97" i="10"/>
  <c r="I97" i="10"/>
  <c r="J97" i="10"/>
  <c r="K97" i="10"/>
  <c r="L97" i="10"/>
  <c r="N97" i="10"/>
  <c r="O97" i="10"/>
  <c r="E93" i="10"/>
  <c r="F93" i="10"/>
  <c r="G93" i="10"/>
  <c r="H93" i="10"/>
  <c r="I93" i="10"/>
  <c r="J93" i="10"/>
  <c r="K93" i="10"/>
  <c r="L93" i="10"/>
  <c r="M93" i="10"/>
  <c r="N93" i="10"/>
  <c r="O93" i="10"/>
  <c r="E88" i="10"/>
  <c r="F88" i="10"/>
  <c r="G88" i="10"/>
  <c r="H88" i="10"/>
  <c r="I88" i="10"/>
  <c r="J88" i="10"/>
  <c r="K88" i="10"/>
  <c r="L88" i="10"/>
  <c r="M88" i="10"/>
  <c r="N88" i="10"/>
  <c r="O88" i="10"/>
  <c r="E82" i="10"/>
  <c r="F82" i="10"/>
  <c r="G82" i="10"/>
  <c r="H82" i="10"/>
  <c r="I82" i="10"/>
  <c r="J82" i="10"/>
  <c r="K82" i="10"/>
  <c r="L82" i="10"/>
  <c r="M82" i="10"/>
  <c r="N82" i="10"/>
  <c r="O82" i="10"/>
  <c r="E77" i="10"/>
  <c r="F77" i="10"/>
  <c r="G77" i="10"/>
  <c r="H77" i="10"/>
  <c r="I77" i="10"/>
  <c r="J77" i="10"/>
  <c r="K77" i="10"/>
  <c r="L77" i="10"/>
  <c r="M77" i="10"/>
  <c r="N77" i="10"/>
  <c r="O77" i="10"/>
  <c r="E73" i="10"/>
  <c r="F73" i="10"/>
  <c r="G73" i="10"/>
  <c r="H73" i="10"/>
  <c r="I73" i="10"/>
  <c r="J73" i="10"/>
  <c r="K73" i="10"/>
  <c r="L73" i="10"/>
  <c r="N73" i="10"/>
  <c r="O73" i="10"/>
  <c r="E69" i="10"/>
  <c r="F69" i="10"/>
  <c r="G69" i="10"/>
  <c r="H69" i="10"/>
  <c r="I69" i="10"/>
  <c r="J69" i="10"/>
  <c r="K69" i="10"/>
  <c r="L69" i="10"/>
  <c r="M69" i="10"/>
  <c r="N69" i="10"/>
  <c r="O69" i="10"/>
  <c r="E65" i="10"/>
  <c r="F65" i="10"/>
  <c r="G65" i="10"/>
  <c r="H65" i="10"/>
  <c r="I65" i="10"/>
  <c r="J65" i="10"/>
  <c r="K65" i="10"/>
  <c r="L65" i="10"/>
  <c r="M65" i="10"/>
  <c r="N65" i="10"/>
  <c r="O65" i="10"/>
  <c r="E61" i="10"/>
  <c r="F61" i="10"/>
  <c r="G61" i="10"/>
  <c r="H61" i="10"/>
  <c r="I61" i="10"/>
  <c r="J61" i="10"/>
  <c r="K61" i="10"/>
  <c r="L61" i="10"/>
  <c r="M61" i="10"/>
  <c r="N61" i="10"/>
  <c r="E57" i="10"/>
  <c r="F57" i="10"/>
  <c r="G57" i="10"/>
  <c r="H57" i="10"/>
  <c r="I57" i="10"/>
  <c r="J57" i="10"/>
  <c r="K57" i="10"/>
  <c r="L57" i="10"/>
  <c r="M57" i="10"/>
  <c r="N57" i="10"/>
  <c r="O57" i="10"/>
  <c r="E51" i="10"/>
  <c r="F51" i="10"/>
  <c r="G51" i="10"/>
  <c r="H51" i="10"/>
  <c r="I51" i="10"/>
  <c r="J51" i="10"/>
  <c r="K51" i="10"/>
  <c r="L51" i="10"/>
  <c r="M51" i="10"/>
  <c r="N51" i="10"/>
  <c r="O51" i="10"/>
  <c r="E47" i="10"/>
  <c r="F47" i="10"/>
  <c r="G47" i="10"/>
  <c r="H47" i="10"/>
  <c r="I47" i="10"/>
  <c r="J47" i="10"/>
  <c r="K47" i="10"/>
  <c r="L47" i="10"/>
  <c r="N47" i="10"/>
  <c r="O47" i="10"/>
  <c r="E42" i="10"/>
  <c r="F42" i="10"/>
  <c r="G42" i="10"/>
  <c r="H42" i="10"/>
  <c r="I42" i="10"/>
  <c r="J42" i="10"/>
  <c r="K42" i="10"/>
  <c r="L42" i="10"/>
  <c r="M42" i="10"/>
  <c r="N42" i="10"/>
  <c r="O42" i="10"/>
  <c r="E38" i="10"/>
  <c r="F38" i="10"/>
  <c r="G38" i="10"/>
  <c r="H38" i="10"/>
  <c r="I38" i="10"/>
  <c r="J38" i="10"/>
  <c r="K38" i="10"/>
  <c r="L38" i="10"/>
  <c r="M38" i="10"/>
  <c r="N38" i="10"/>
  <c r="O38" i="10"/>
  <c r="E33" i="10"/>
  <c r="F33" i="10"/>
  <c r="G33" i="10"/>
  <c r="H33" i="10"/>
  <c r="I33" i="10"/>
  <c r="J33" i="10"/>
  <c r="K33" i="10"/>
  <c r="L33" i="10"/>
  <c r="M33" i="10"/>
  <c r="N33" i="10"/>
  <c r="O33" i="10"/>
  <c r="E28" i="10"/>
  <c r="F28" i="10"/>
  <c r="G28" i="10"/>
  <c r="H28" i="10"/>
  <c r="I28" i="10"/>
  <c r="J28" i="10"/>
  <c r="K28" i="10"/>
  <c r="L28" i="10"/>
  <c r="N28" i="10"/>
  <c r="O28" i="10"/>
  <c r="E19" i="10"/>
  <c r="F19" i="10"/>
  <c r="G19" i="10"/>
  <c r="H19" i="10"/>
  <c r="I19" i="10"/>
  <c r="J19" i="10"/>
  <c r="K19" i="10"/>
  <c r="L19" i="10"/>
  <c r="M19" i="10"/>
  <c r="N19" i="10"/>
  <c r="E13" i="10"/>
  <c r="F13" i="10"/>
  <c r="G13" i="10"/>
  <c r="H13" i="10"/>
  <c r="I13" i="10"/>
  <c r="J13" i="10"/>
  <c r="K13" i="10"/>
  <c r="L13" i="10"/>
  <c r="M13" i="10"/>
  <c r="N13" i="10"/>
  <c r="E8" i="10"/>
  <c r="F8" i="10"/>
  <c r="G8" i="10"/>
  <c r="H8" i="10"/>
  <c r="I8" i="10"/>
  <c r="J8" i="10"/>
  <c r="K8" i="10"/>
  <c r="L8" i="10"/>
  <c r="M8" i="10"/>
  <c r="N8" i="10"/>
  <c r="O8" i="10"/>
  <c r="O156" i="10" s="1"/>
  <c r="N156" i="10" l="1"/>
  <c r="G156" i="10"/>
  <c r="H156" i="10"/>
  <c r="F156" i="10"/>
  <c r="M156" i="10"/>
  <c r="L156" i="10"/>
  <c r="K156" i="10"/>
  <c r="I156" i="10"/>
  <c r="J156" i="10"/>
  <c r="P19" i="10"/>
  <c r="P4" i="10"/>
  <c r="P145" i="10"/>
  <c r="P97" i="10"/>
  <c r="P73" i="10"/>
  <c r="P103" i="10" l="1"/>
  <c r="P38" i="10"/>
  <c r="P13" i="10"/>
  <c r="P8" i="10" l="1"/>
  <c r="P109" i="10"/>
  <c r="P123" i="10"/>
  <c r="P69" i="10"/>
  <c r="P127" i="10"/>
  <c r="P131" i="10"/>
  <c r="P28" i="10"/>
  <c r="P141" i="10"/>
  <c r="P135" i="10"/>
  <c r="P51" i="10"/>
  <c r="P47" i="10"/>
  <c r="P42" i="10"/>
  <c r="P65" i="10"/>
  <c r="P61" i="10"/>
  <c r="P77" i="10"/>
  <c r="P33" i="10"/>
  <c r="P114" i="10"/>
  <c r="P93" i="10"/>
  <c r="P57" i="10"/>
  <c r="P118" i="10"/>
  <c r="P82" i="10"/>
  <c r="P88" i="10"/>
  <c r="P156" i="10" l="1"/>
  <c r="P15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tc={19D47FF5-C334-42AF-A3BC-4AAC553BD92E}</author>
    <author>tc={BC498931-E741-4F99-8ECA-98BF659686B7}</author>
  </authors>
  <commentList>
    <comment ref="B1" authorId="0" shapeId="0" xr:uid="{19D47FF5-C334-42AF-A3BC-4AAC553BD9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Extensão de Córregos Limpos (m)
Extensão de Galerias Limpas Manualmente (m)
Extensão de Galerias Limpas Mecanicamente (m)
Extensão de Ramais Limpos Manualmente (m)
Extensão de Ramais Limpos Mecanicamente (m)</t>
      </text>
    </comment>
    <comment ref="Q19" authorId="1" shapeId="0" xr:uid="{BC498931-E741-4F99-8ECA-98BF659686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!</t>
      </text>
    </comment>
  </commentList>
</comments>
</file>

<file path=xl/sharedStrings.xml><?xml version="1.0" encoding="utf-8"?>
<sst xmlns="http://schemas.openxmlformats.org/spreadsheetml/2006/main" count="1120" uniqueCount="145">
  <si>
    <t xml:space="preserve">Subprefeitura </t>
  </si>
  <si>
    <t>Indicador</t>
  </si>
  <si>
    <t xml:space="preserve">Total 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</si>
  <si>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</si>
  <si>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</si>
  <si>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</si>
  <si>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</si>
  <si>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</si>
  <si>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</si>
  <si>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</si>
  <si>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</si>
  <si>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</si>
  <si>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</si>
  <si>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</si>
  <si>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</si>
  <si>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ARICANDUVA/FORMOSA/CARRAO</t>
  </si>
  <si>
    <t>BUTANTA</t>
  </si>
  <si>
    <t>CAMPO LIMPO</t>
  </si>
  <si>
    <t>CAPELA DO SOCORRO</t>
  </si>
  <si>
    <t>CASA VERDE/CACHOEIRINHA</t>
  </si>
  <si>
    <t>CIDADE ADEMAR</t>
  </si>
  <si>
    <t>CIDADE TIRADENTES</t>
  </si>
  <si>
    <t>ERMELINO MATARAZZO</t>
  </si>
  <si>
    <t>FREGUESIA/BRASILANDIA</t>
  </si>
  <si>
    <t>GUAIANASES</t>
  </si>
  <si>
    <t>IPIRANGA</t>
  </si>
  <si>
    <t>ITAIM PAULISTA</t>
  </si>
  <si>
    <t>ITAQUERA</t>
  </si>
  <si>
    <t>JABAQUARA</t>
  </si>
  <si>
    <t>JACANA/TREMEMBE</t>
  </si>
  <si>
    <t>LAPA</t>
  </si>
  <si>
    <t>M BOI MIRIM</t>
  </si>
  <si>
    <t>MOOCA</t>
  </si>
  <si>
    <t>PARELHEIROS</t>
  </si>
  <si>
    <t>PENHA</t>
  </si>
  <si>
    <t>PERUS</t>
  </si>
  <si>
    <t>PINHEIROS</t>
  </si>
  <si>
    <t>PIRITUBA</t>
  </si>
  <si>
    <t>SANTANA/TUCURUVI</t>
  </si>
  <si>
    <t>SANTO AMARO</t>
  </si>
  <si>
    <t>SAO MATEUS</t>
  </si>
  <si>
    <t>SAO MIGUEL</t>
  </si>
  <si>
    <t>SAPOPEMBA</t>
  </si>
  <si>
    <t>SE</t>
  </si>
  <si>
    <t>VILA MARIA/VILA GUILHERME</t>
  </si>
  <si>
    <t>VILA MARIANA</t>
  </si>
  <si>
    <t>VILA PRUDENTE</t>
  </si>
  <si>
    <t xml:space="preserve">TOTAL: </t>
  </si>
  <si>
    <t>Fonte: Relatório de Produção extraido do Painel Zeladoria (base de dados SGZ)</t>
  </si>
  <si>
    <t>Extensão Total Limpa (m)</t>
  </si>
  <si>
    <t>Extensão de Córregos Limpos (m)</t>
  </si>
  <si>
    <t>Extensão de Galerias Limpas Mecanicamente (m)</t>
  </si>
  <si>
    <t>Extensão de Ramais Limpos Mecanicamente (m)</t>
  </si>
  <si>
    <t>Extensão de Galerias Limpas Manualmente (m)</t>
  </si>
  <si>
    <t>Extensão de Ramais Limpos Manualmente (m)</t>
  </si>
  <si>
    <t>3.04. Alcançar 50 bosques urbanos.</t>
  </si>
  <si>
    <t>3.05. Criação de 30 áreas “Futuro Verde”.</t>
  </si>
  <si>
    <t xml:space="preserve">3.08. Atingir 1.000 jardins de chuva </t>
  </si>
  <si>
    <t>4.05. Implantação de 10 novos ecopontos.</t>
  </si>
  <si>
    <t>Fonte:</t>
  </si>
  <si>
    <t>53.04. Publicação do edital da PPP do Novo Parque Dom Pedro II.</t>
  </si>
  <si>
    <t>116. Instituir o comitê de governo local nos 32 territórios para ampliar o diálogo entre as secretarias e promover ações locais mais integradas.</t>
  </si>
  <si>
    <t>Fonte: ATOS</t>
  </si>
  <si>
    <t xml:space="preserve">49. Recuperar 10.000.000 de metros quadrados de vias públicas para aumentar a segurança viária e a fluidez do trânsito. </t>
  </si>
  <si>
    <t>Data da instutuição do comitê</t>
  </si>
  <si>
    <t>Processo SEI</t>
  </si>
  <si>
    <t>área executada (m²)</t>
  </si>
  <si>
    <t>nº</t>
  </si>
  <si>
    <t>Nome do bosque</t>
  </si>
  <si>
    <t>Endereço</t>
  </si>
  <si>
    <t>Data da inauguração</t>
  </si>
  <si>
    <t>Nome da área de futuro verde</t>
  </si>
  <si>
    <t>Nome do ecoponto</t>
  </si>
  <si>
    <t>12.03. Limpeza de 9.000.000 de metros de extensão de córregos, galerias e ramais pluviais.</t>
  </si>
  <si>
    <t>50. Pavimentar 400.000 metros quadrados de vias de terra para melhorar a infraestrutura urbana e as condições de mobilidade na cidade.</t>
  </si>
  <si>
    <t>51. Renovar 1.000.000 metros quadrados de calçadas para melhorar a acessibilidade e oferecer mais segurança aos pedestres.</t>
  </si>
  <si>
    <t>10. Comunicar periodicamente a SEHAB / SIURB sobre obras de urbanização realizadas pela SMSUB.</t>
  </si>
  <si>
    <t>48. Entregar um heliponto na marginal Tietê para atendimento a situações de emergência.</t>
  </si>
  <si>
    <t>META ENTREGUE</t>
  </si>
  <si>
    <t>EDITAL PUBLICADO</t>
  </si>
  <si>
    <t>6012.2025/0015147-5</t>
  </si>
  <si>
    <t>CT</t>
  </si>
  <si>
    <t>MO</t>
  </si>
  <si>
    <t>Fonte: Secretaria do Gabinete</t>
  </si>
  <si>
    <t>AF</t>
  </si>
  <si>
    <t>BT</t>
  </si>
  <si>
    <t>CL</t>
  </si>
  <si>
    <t>CS</t>
  </si>
  <si>
    <t>CV</t>
  </si>
  <si>
    <t>AD</t>
  </si>
  <si>
    <t>EM</t>
  </si>
  <si>
    <t>G</t>
  </si>
  <si>
    <t>IP</t>
  </si>
  <si>
    <t>IT</t>
  </si>
  <si>
    <t>IQ</t>
  </si>
  <si>
    <t>JA</t>
  </si>
  <si>
    <t>JT</t>
  </si>
  <si>
    <t>LA</t>
  </si>
  <si>
    <t>MB</t>
  </si>
  <si>
    <t>PA</t>
  </si>
  <si>
    <t>PE</t>
  </si>
  <si>
    <t>PR</t>
  </si>
  <si>
    <t>PJ</t>
  </si>
  <si>
    <t>ST</t>
  </si>
  <si>
    <t>SA</t>
  </si>
  <si>
    <t>SM</t>
  </si>
  <si>
    <t>MP</t>
  </si>
  <si>
    <t>MG</t>
  </si>
  <si>
    <t>VM</t>
  </si>
  <si>
    <t>VP</t>
  </si>
  <si>
    <t>PI</t>
  </si>
  <si>
    <t>Sigla</t>
  </si>
  <si>
    <t>Fonte: ?</t>
  </si>
  <si>
    <t>Fonte: Relatório de Produção extraído do Painel Zeladoria (base de dados SGZ) + informações de SMSUB/ATOS</t>
  </si>
  <si>
    <t>!</t>
  </si>
  <si>
    <t>SIGLA</t>
  </si>
  <si>
    <t>Fonte: ATOS/DZU/SGZ</t>
  </si>
  <si>
    <t>Total requalificado (m2)</t>
  </si>
  <si>
    <t>SMSUB/ATOS</t>
  </si>
  <si>
    <t>Subprefeitura (SGZ)</t>
  </si>
  <si>
    <t>FB</t>
  </si>
  <si>
    <t>SB</t>
  </si>
  <si>
    <t>TOTAL:</t>
  </si>
  <si>
    <t>Fonte: SMSUB/ATOS</t>
  </si>
  <si>
    <t>SMSUB/CONVIAS</t>
  </si>
  <si>
    <t>SMSUB/CONSEMAVI</t>
  </si>
  <si>
    <t>Fonte: SMSUB/CONSEMAVI + SMSUB/CONVIAS</t>
  </si>
  <si>
    <t>Instrumento Regulador</t>
  </si>
  <si>
    <t>Sapopemba</t>
  </si>
  <si>
    <t>Praça das Guianas</t>
  </si>
  <si>
    <t>Sé</t>
  </si>
  <si>
    <t>Vila Maria/Vila Guilherme</t>
  </si>
  <si>
    <t>Macuco</t>
  </si>
  <si>
    <t>Ponte Jânio Quadros</t>
  </si>
  <si>
    <t>Praça Armênia - Av. Santos Dumont x Av. Tiradentes (Estação Armênia)</t>
  </si>
  <si>
    <t>Tesourinha</t>
  </si>
  <si>
    <t> PINHEIROS</t>
  </si>
  <si>
    <t> Alameda Itu x Av.9 de Julho (Bairro)</t>
  </si>
  <si>
    <t xml:space="preserve"> 26/01/2026</t>
  </si>
  <si>
    <t> Alameda Itu x Av.9 de Julho (Centro)</t>
  </si>
  <si>
    <t xml:space="preserve"> PINHEIROS </t>
  </si>
  <si>
    <t>Alameda casa branca x Av.9 de Julho (Bairro)</t>
  </si>
  <si>
    <t> 26/01/2026</t>
  </si>
  <si>
    <t xml:space="preserve"> Rua Cravinhos x Av.9 de Julho </t>
  </si>
  <si>
    <t>Presidente Prudente x Av.9 de Julho (Bairro)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</si>
</sst>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theme="1"/>
      <name val="Calibri"/>
      <family val="2"/>
    </font>
    <font>
      <b/>
      <sz val="15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rgb="FF332B4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39997558519241921"/>
        <bgColor theme="9"/>
      </patternFill>
    </fill>
    <fill>
      <patternFill patternType="solid">
        <fgColor theme="9" tint="0.39997558519241921"/>
        <bgColor theme="0" tint="-0.14999847407452621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3" fillId="3" borderId="1" xfId="0" applyFont="1" applyFill="1" applyBorder="1"/>
    <xf numFmtId="164" fontId="3" fillId="3" borderId="1" xfId="0" applyNumberFormat="1" applyFont="1" applyFill="1" applyBorder="1"/>
    <xf numFmtId="0" fontId="5" fillId="4" borderId="1" xfId="0" applyFont="1" applyFill="1" applyBorder="1" applyAlignment="1">
      <alignment horizontal="center"/>
    </xf>
    <xf numFmtId="0" fontId="1" fillId="0" borderId="0" xfId="0" applyFont="1"/>
    <xf numFmtId="4" fontId="0" fillId="0" borderId="1" xfId="0" applyNumberFormat="1" applyBorder="1"/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14" fontId="11" fillId="7" borderId="1" xfId="0" applyNumberFormat="1" applyFont="1" applyFill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12" fillId="3" borderId="9" xfId="0" applyFont="1" applyFill="1" applyBorder="1"/>
    <xf numFmtId="164" fontId="12" fillId="3" borderId="9" xfId="0" applyNumberFormat="1" applyFont="1" applyFill="1" applyBorder="1"/>
    <xf numFmtId="0" fontId="12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right"/>
    </xf>
    <xf numFmtId="4" fontId="0" fillId="2" borderId="1" xfId="0" applyNumberFormat="1" applyFill="1" applyBorder="1" applyAlignment="1">
      <alignment horizontal="right" vertical="center"/>
    </xf>
    <xf numFmtId="4" fontId="0" fillId="2" borderId="1" xfId="0" applyNumberFormat="1" applyFill="1" applyBorder="1" applyAlignment="1">
      <alignment horizontal="right"/>
    </xf>
    <xf numFmtId="4" fontId="0" fillId="0" borderId="1" xfId="0" applyNumberFormat="1" applyBorder="1" applyAlignment="1">
      <alignment horizontal="right" vertical="center"/>
    </xf>
    <xf numFmtId="4" fontId="0" fillId="2" borderId="1" xfId="0" applyNumberFormat="1" applyFill="1" applyBorder="1"/>
    <xf numFmtId="4" fontId="1" fillId="0" borderId="0" xfId="0" applyNumberFormat="1" applyFont="1"/>
    <xf numFmtId="4" fontId="0" fillId="0" borderId="0" xfId="0" applyNumberFormat="1"/>
    <xf numFmtId="4" fontId="0" fillId="0" borderId="0" xfId="0" applyNumberFormat="1" applyAlignment="1">
      <alignment horizontal="right"/>
    </xf>
    <xf numFmtId="4" fontId="7" fillId="5" borderId="1" xfId="0" applyNumberFormat="1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right"/>
    </xf>
    <xf numFmtId="0" fontId="0" fillId="0" borderId="1" xfId="0" applyBorder="1"/>
    <xf numFmtId="0" fontId="10" fillId="0" borderId="8" xfId="0" applyFont="1" applyBorder="1" applyAlignment="1">
      <alignment wrapText="1"/>
    </xf>
    <xf numFmtId="0" fontId="3" fillId="0" borderId="8" xfId="0" applyFont="1" applyBorder="1"/>
    <xf numFmtId="164" fontId="3" fillId="0" borderId="7" xfId="0" applyNumberFormat="1" applyFont="1" applyBorder="1"/>
    <xf numFmtId="0" fontId="10" fillId="8" borderId="8" xfId="0" applyFont="1" applyFill="1" applyBorder="1" applyAlignment="1">
      <alignment wrapText="1"/>
    </xf>
    <xf numFmtId="0" fontId="3" fillId="8" borderId="8" xfId="0" applyFont="1" applyFill="1" applyBorder="1"/>
    <xf numFmtId="164" fontId="3" fillId="8" borderId="7" xfId="0" applyNumberFormat="1" applyFont="1" applyFill="1" applyBorder="1"/>
    <xf numFmtId="164" fontId="3" fillId="8" borderId="2" xfId="0" applyNumberFormat="1" applyFont="1" applyFill="1" applyBorder="1"/>
    <xf numFmtId="164" fontId="3" fillId="8" borderId="1" xfId="0" applyNumberFormat="1" applyFont="1" applyFill="1" applyBorder="1"/>
    <xf numFmtId="164" fontId="3" fillId="8" borderId="8" xfId="0" applyNumberFormat="1" applyFont="1" applyFill="1" applyBorder="1"/>
    <xf numFmtId="164" fontId="3" fillId="0" borderId="8" xfId="0" applyNumberFormat="1" applyFont="1" applyBorder="1"/>
    <xf numFmtId="0" fontId="13" fillId="0" borderId="0" xfId="0" applyFont="1"/>
    <xf numFmtId="0" fontId="14" fillId="9" borderId="8" xfId="0" applyFont="1" applyFill="1" applyBorder="1" applyAlignment="1">
      <alignment horizontal="center"/>
    </xf>
    <xf numFmtId="0" fontId="14" fillId="9" borderId="7" xfId="0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wrapText="1"/>
    </xf>
    <xf numFmtId="14" fontId="0" fillId="8" borderId="8" xfId="0" applyNumberFormat="1" applyFill="1" applyBorder="1" applyAlignment="1">
      <alignment horizontal="right" wrapText="1"/>
    </xf>
    <xf numFmtId="0" fontId="2" fillId="8" borderId="8" xfId="0" applyFont="1" applyFill="1" applyBorder="1" applyAlignment="1">
      <alignment horizontal="center"/>
    </xf>
    <xf numFmtId="0" fontId="0" fillId="8" borderId="7" xfId="0" applyFill="1" applyBorder="1" applyAlignment="1">
      <alignment horizontal="right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horizontal="right" wrapText="1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right" wrapText="1"/>
    </xf>
    <xf numFmtId="164" fontId="3" fillId="0" borderId="8" xfId="0" applyNumberFormat="1" applyFont="1" applyBorder="1" applyAlignment="1">
      <alignment wrapText="1"/>
    </xf>
    <xf numFmtId="14" fontId="3" fillId="0" borderId="8" xfId="0" applyNumberFormat="1" applyFont="1" applyBorder="1"/>
    <xf numFmtId="164" fontId="3" fillId="0" borderId="7" xfId="0" applyNumberFormat="1" applyFont="1" applyBorder="1" applyAlignment="1">
      <alignment horizontal="right"/>
    </xf>
    <xf numFmtId="14" fontId="3" fillId="8" borderId="8" xfId="0" applyNumberFormat="1" applyFont="1" applyFill="1" applyBorder="1"/>
    <xf numFmtId="164" fontId="3" fillId="8" borderId="7" xfId="0" applyNumberFormat="1" applyFont="1" applyFill="1" applyBorder="1" applyAlignment="1">
      <alignment horizontal="right"/>
    </xf>
    <xf numFmtId="0" fontId="3" fillId="8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164" fontId="3" fillId="8" borderId="8" xfId="0" applyNumberFormat="1" applyFont="1" applyFill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3" borderId="9" xfId="0" applyFont="1" applyFill="1" applyBorder="1"/>
    <xf numFmtId="164" fontId="3" fillId="3" borderId="9" xfId="0" applyNumberFormat="1" applyFont="1" applyFill="1" applyBorder="1"/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0" fillId="0" borderId="8" xfId="0" applyBorder="1"/>
    <xf numFmtId="4" fontId="0" fillId="0" borderId="8" xfId="0" applyNumberFormat="1" applyBorder="1"/>
    <xf numFmtId="0" fontId="3" fillId="0" borderId="8" xfId="0" applyFont="1" applyBorder="1" applyAlignment="1">
      <alignment horizontal="right"/>
    </xf>
    <xf numFmtId="164" fontId="3" fillId="0" borderId="2" xfId="0" applyNumberFormat="1" applyFont="1" applyBorder="1"/>
    <xf numFmtId="0" fontId="0" fillId="11" borderId="8" xfId="0" applyFill="1" applyBorder="1"/>
    <xf numFmtId="0" fontId="10" fillId="11" borderId="8" xfId="0" applyFont="1" applyFill="1" applyBorder="1" applyAlignment="1">
      <alignment wrapText="1"/>
    </xf>
    <xf numFmtId="0" fontId="3" fillId="11" borderId="8" xfId="0" applyFont="1" applyFill="1" applyBorder="1"/>
    <xf numFmtId="4" fontId="0" fillId="11" borderId="8" xfId="0" applyNumberFormat="1" applyFill="1" applyBorder="1"/>
    <xf numFmtId="164" fontId="3" fillId="11" borderId="7" xfId="0" applyNumberFormat="1" applyFont="1" applyFill="1" applyBorder="1"/>
    <xf numFmtId="0" fontId="3" fillId="11" borderId="8" xfId="0" applyFont="1" applyFill="1" applyBorder="1" applyAlignment="1">
      <alignment horizontal="right"/>
    </xf>
    <xf numFmtId="4" fontId="0" fillId="11" borderId="1" xfId="0" applyNumberFormat="1" applyFill="1" applyBorder="1"/>
    <xf numFmtId="0" fontId="3" fillId="11" borderId="1" xfId="0" applyFont="1" applyFill="1" applyBorder="1" applyAlignment="1">
      <alignment horizontal="right"/>
    </xf>
    <xf numFmtId="0" fontId="0" fillId="11" borderId="1" xfId="0" applyFill="1" applyBorder="1"/>
    <xf numFmtId="164" fontId="3" fillId="11" borderId="1" xfId="0" applyNumberFormat="1" applyFont="1" applyFill="1" applyBorder="1"/>
    <xf numFmtId="0" fontId="10" fillId="11" borderId="1" xfId="0" applyFont="1" applyFill="1" applyBorder="1" applyAlignment="1">
      <alignment wrapText="1"/>
    </xf>
    <xf numFmtId="0" fontId="3" fillId="11" borderId="1" xfId="0" applyFont="1" applyFill="1" applyBorder="1"/>
    <xf numFmtId="0" fontId="10" fillId="0" borderId="1" xfId="0" applyFont="1" applyBorder="1" applyAlignment="1">
      <alignment wrapText="1"/>
    </xf>
    <xf numFmtId="0" fontId="0" fillId="8" borderId="8" xfId="0" applyFill="1" applyBorder="1"/>
    <xf numFmtId="0" fontId="0" fillId="8" borderId="7" xfId="0" applyFill="1" applyBorder="1"/>
    <xf numFmtId="0" fontId="0" fillId="0" borderId="7" xfId="0" applyBorder="1"/>
    <xf numFmtId="0" fontId="0" fillId="0" borderId="2" xfId="0" applyBorder="1"/>
    <xf numFmtId="0" fontId="10" fillId="0" borderId="2" xfId="0" applyFont="1" applyBorder="1" applyAlignment="1">
      <alignment wrapText="1"/>
    </xf>
    <xf numFmtId="0" fontId="3" fillId="0" borderId="2" xfId="0" applyFont="1" applyBorder="1"/>
    <xf numFmtId="4" fontId="1" fillId="0" borderId="1" xfId="0" applyNumberFormat="1" applyFont="1" applyBorder="1"/>
    <xf numFmtId="0" fontId="0" fillId="8" borderId="1" xfId="0" applyFill="1" applyBorder="1"/>
    <xf numFmtId="0" fontId="0" fillId="12" borderId="1" xfId="0" applyFill="1" applyBorder="1"/>
    <xf numFmtId="164" fontId="3" fillId="3" borderId="9" xfId="0" applyNumberFormat="1" applyFont="1" applyFill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0" fontId="16" fillId="0" borderId="0" xfId="0" applyFont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4" fontId="6" fillId="5" borderId="2" xfId="0" applyNumberFormat="1" applyFont="1" applyFill="1" applyBorder="1" applyAlignment="1">
      <alignment horizontal="center"/>
    </xf>
    <xf numFmtId="4" fontId="6" fillId="5" borderId="3" xfId="0" applyNumberFormat="1" applyFont="1" applyFill="1" applyBorder="1" applyAlignment="1">
      <alignment horizontal="center"/>
    </xf>
    <xf numFmtId="4" fontId="6" fillId="5" borderId="4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0" fillId="2" borderId="4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8" borderId="11" xfId="0" applyFill="1" applyBorder="1" applyAlignment="1">
      <alignment wrapText="1"/>
    </xf>
    <xf numFmtId="14" fontId="0" fillId="8" borderId="11" xfId="0" applyNumberFormat="1" applyFill="1" applyBorder="1" applyAlignment="1">
      <alignment horizontal="right" wrapText="1"/>
    </xf>
    <xf numFmtId="0" fontId="8" fillId="0" borderId="1" xfId="0" applyFont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right" vertical="center"/>
    </xf>
    <xf numFmtId="14" fontId="8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4"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 xr9:uid="{8B44140D-C4EB-435E-B2E4-1C59AF2839B7}">
      <tableStyleElement type="firstRowStripe" dxfId="3"/>
      <tableStyleElement type="secondRowStripe" dxfId="2"/>
    </tableStyle>
    <tableStyle name="Estilo de Tabela 2" pivot="0" count="2" xr9:uid="{464A3179-35C1-4A1E-A326-4D559F0F8D77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ao Gabriel Alves da Cunha Canto" id="{0B4F4744-DE05-4F3D-BF5A-1F521D04404E}" userId="S-1-5-21-1894564379-4094510171-1054564760-669473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0T12:59:49.35" personId="{0B4F4744-DE05-4F3D-BF5A-1F521D04404E}" id="{19D47FF5-C334-42AF-A3BC-4AAC553BD92E}">
    <text>Extensão de Córregos Limpos (m)
Extensão de Galerias Limpas Manualmente (m)
Extensão de Galerias Limpas Mecanicamente (m)
Extensão de Ramais Limpos Manualmente (m)
Extensão de Ramais Limpos Mecanicamente (m)</text>
  </threadedComment>
  <threadedComment ref="Q19" dT="2026-01-15T14:58:02.99" personId="{0B4F4744-DE05-4F3D-BF5A-1F521D04404E}" id="{BC498931-E741-4F99-8ECA-98BF659686B7}">
    <text>!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08F7-6099-4B58-9835-F6DAD98FEAA0}">
  <sheetPr>
    <pageSetUpPr fitToPage="1"/>
  </sheetPr>
  <dimension ref="B1:G35"/>
  <sheetViews>
    <sheetView zoomScale="90" zoomScaleNormal="90" workbookViewId="0">
      <selection activeCell="E11" sqref="E11"/>
    </sheetView>
  </sheetViews>
  <sheetFormatPr defaultRowHeight="15" x14ac:dyDescent="0.25"/>
  <cols>
    <col min="2" max="2" width="8.5703125" customWidth="1"/>
    <col min="3" max="4" width="24.42578125" customWidth="1"/>
    <col min="5" max="5" width="63.7109375" customWidth="1"/>
    <col min="6" max="7" width="24.42578125" customWidth="1"/>
  </cols>
  <sheetData>
    <row r="1" spans="2:7" x14ac:dyDescent="0.25">
      <c r="B1" s="107" t="s">
        <v>62</v>
      </c>
      <c r="C1" s="107"/>
      <c r="D1" s="107"/>
      <c r="E1" s="107"/>
      <c r="F1" s="107"/>
      <c r="G1" s="107"/>
    </row>
    <row r="2" spans="2:7" ht="19.5" x14ac:dyDescent="0.3">
      <c r="B2" s="105" t="s">
        <v>55</v>
      </c>
      <c r="C2" s="105"/>
      <c r="D2" s="105"/>
      <c r="E2" s="105"/>
      <c r="F2" s="105"/>
      <c r="G2" s="106"/>
    </row>
    <row r="3" spans="2:7" ht="15.75" x14ac:dyDescent="0.25">
      <c r="B3" s="5" t="s">
        <v>67</v>
      </c>
      <c r="C3" s="5" t="s">
        <v>0</v>
      </c>
      <c r="D3" s="5" t="s">
        <v>68</v>
      </c>
      <c r="E3" s="5" t="s">
        <v>69</v>
      </c>
      <c r="F3" s="5" t="s">
        <v>70</v>
      </c>
      <c r="G3" s="5" t="s">
        <v>65</v>
      </c>
    </row>
    <row r="4" spans="2:7" x14ac:dyDescent="0.25">
      <c r="B4" s="9">
        <v>1</v>
      </c>
      <c r="C4" s="74" t="s">
        <v>131</v>
      </c>
      <c r="D4" s="74" t="s">
        <v>132</v>
      </c>
      <c r="E4" s="74" t="s">
        <v>133</v>
      </c>
      <c r="F4" s="75">
        <v>46030</v>
      </c>
      <c r="G4" s="74"/>
    </row>
    <row r="5" spans="2:7" x14ac:dyDescent="0.25">
      <c r="B5" s="8">
        <v>2</v>
      </c>
      <c r="C5" s="72" t="s">
        <v>130</v>
      </c>
      <c r="D5" s="102" t="s">
        <v>135</v>
      </c>
      <c r="E5" s="104" t="s">
        <v>134</v>
      </c>
      <c r="F5" s="103">
        <v>46053</v>
      </c>
      <c r="G5" s="73"/>
    </row>
    <row r="6" spans="2:7" x14ac:dyDescent="0.25">
      <c r="B6" s="9">
        <v>3</v>
      </c>
      <c r="C6" s="1"/>
      <c r="D6" s="2"/>
      <c r="E6" s="2"/>
      <c r="F6" s="2"/>
      <c r="G6" s="2"/>
    </row>
    <row r="7" spans="2:7" x14ac:dyDescent="0.25">
      <c r="B7" s="8"/>
      <c r="C7" s="3"/>
      <c r="D7" s="4"/>
      <c r="E7" s="4"/>
      <c r="F7" s="4"/>
      <c r="G7" s="4"/>
    </row>
    <row r="8" spans="2:7" x14ac:dyDescent="0.25">
      <c r="B8" s="9"/>
      <c r="C8" s="1"/>
      <c r="D8" s="2"/>
      <c r="E8" s="2"/>
      <c r="F8" s="2"/>
      <c r="G8" s="2"/>
    </row>
    <row r="9" spans="2:7" x14ac:dyDescent="0.25">
      <c r="B9" s="8"/>
      <c r="C9" s="3"/>
      <c r="D9" s="4"/>
      <c r="E9" s="4"/>
      <c r="F9" s="4"/>
      <c r="G9" s="4"/>
    </row>
    <row r="10" spans="2:7" x14ac:dyDescent="0.25">
      <c r="B10" s="9"/>
      <c r="C10" s="1"/>
      <c r="D10" s="2"/>
      <c r="E10" s="2"/>
      <c r="F10" s="2"/>
      <c r="G10" s="2"/>
    </row>
    <row r="11" spans="2:7" x14ac:dyDescent="0.25">
      <c r="B11" s="9"/>
      <c r="C11" s="1"/>
      <c r="D11" s="2"/>
      <c r="E11" s="2"/>
      <c r="F11" s="2"/>
      <c r="G11" s="2"/>
    </row>
    <row r="12" spans="2:7" x14ac:dyDescent="0.25">
      <c r="B12" s="8"/>
      <c r="C12" s="3"/>
      <c r="D12" s="4"/>
      <c r="E12" s="4"/>
      <c r="F12" s="4"/>
      <c r="G12" s="4"/>
    </row>
    <row r="13" spans="2:7" x14ac:dyDescent="0.25">
      <c r="B13" s="9"/>
      <c r="C13" s="1"/>
      <c r="D13" s="2"/>
      <c r="E13" s="2"/>
      <c r="F13" s="2"/>
      <c r="G13" s="2"/>
    </row>
    <row r="14" spans="2:7" x14ac:dyDescent="0.25">
      <c r="B14" s="8"/>
      <c r="C14" s="3"/>
      <c r="D14" s="4"/>
      <c r="E14" s="4"/>
      <c r="F14" s="4"/>
      <c r="G14" s="4"/>
    </row>
    <row r="15" spans="2:7" x14ac:dyDescent="0.25">
      <c r="B15" s="9"/>
      <c r="C15" s="1"/>
      <c r="D15" s="2"/>
      <c r="E15" s="2"/>
      <c r="F15" s="2"/>
      <c r="G15" s="2"/>
    </row>
    <row r="16" spans="2:7" x14ac:dyDescent="0.25">
      <c r="B16" s="8"/>
      <c r="C16" s="3"/>
      <c r="D16" s="4"/>
      <c r="E16" s="4"/>
      <c r="F16" s="4"/>
      <c r="G16" s="4"/>
    </row>
    <row r="17" spans="2:7" x14ac:dyDescent="0.25">
      <c r="B17" s="9"/>
      <c r="C17" s="1"/>
      <c r="D17" s="2"/>
      <c r="E17" s="2"/>
      <c r="F17" s="2"/>
      <c r="G17" s="2"/>
    </row>
    <row r="18" spans="2:7" x14ac:dyDescent="0.25">
      <c r="B18" s="8"/>
      <c r="C18" s="3"/>
      <c r="D18" s="4"/>
      <c r="E18" s="4"/>
      <c r="F18" s="4"/>
      <c r="G18" s="4"/>
    </row>
    <row r="19" spans="2:7" x14ac:dyDescent="0.25">
      <c r="B19" s="9"/>
      <c r="C19" s="1"/>
      <c r="D19" s="2"/>
      <c r="E19" s="2"/>
      <c r="F19" s="2"/>
      <c r="G19" s="2"/>
    </row>
    <row r="20" spans="2:7" x14ac:dyDescent="0.25">
      <c r="B20" s="8"/>
      <c r="C20" s="3"/>
      <c r="D20" s="4"/>
      <c r="E20" s="4"/>
      <c r="F20" s="4"/>
      <c r="G20" s="4"/>
    </row>
    <row r="21" spans="2:7" x14ac:dyDescent="0.25">
      <c r="B21" s="9"/>
      <c r="C21" s="1"/>
      <c r="D21" s="2"/>
      <c r="E21" s="2"/>
      <c r="F21" s="2"/>
      <c r="G21" s="2"/>
    </row>
    <row r="22" spans="2:7" x14ac:dyDescent="0.25">
      <c r="B22" s="8"/>
      <c r="C22" s="3"/>
      <c r="D22" s="4"/>
      <c r="E22" s="4"/>
      <c r="F22" s="4"/>
      <c r="G22" s="4"/>
    </row>
    <row r="23" spans="2:7" x14ac:dyDescent="0.25">
      <c r="B23" s="9"/>
      <c r="C23" s="1"/>
      <c r="D23" s="2"/>
      <c r="E23" s="2"/>
      <c r="F23" s="2"/>
      <c r="G23" s="2"/>
    </row>
    <row r="24" spans="2:7" x14ac:dyDescent="0.25">
      <c r="B24" s="8"/>
      <c r="C24" s="3"/>
      <c r="D24" s="4"/>
      <c r="E24" s="4"/>
      <c r="F24" s="4"/>
      <c r="G24" s="4"/>
    </row>
    <row r="25" spans="2:7" x14ac:dyDescent="0.25">
      <c r="B25" s="9"/>
      <c r="C25" s="1"/>
      <c r="D25" s="2"/>
      <c r="E25" s="2"/>
      <c r="F25" s="2"/>
      <c r="G25" s="2"/>
    </row>
    <row r="26" spans="2:7" x14ac:dyDescent="0.25">
      <c r="B26" s="8"/>
      <c r="C26" s="3"/>
      <c r="D26" s="4"/>
      <c r="E26" s="4"/>
      <c r="F26" s="4"/>
      <c r="G26" s="4"/>
    </row>
    <row r="27" spans="2:7" x14ac:dyDescent="0.25">
      <c r="B27" s="9"/>
      <c r="C27" s="1"/>
      <c r="D27" s="2"/>
      <c r="E27" s="2"/>
      <c r="F27" s="2"/>
      <c r="G27" s="2"/>
    </row>
    <row r="28" spans="2:7" x14ac:dyDescent="0.25">
      <c r="B28" s="8"/>
      <c r="C28" s="3"/>
      <c r="D28" s="4"/>
      <c r="E28" s="4"/>
      <c r="F28" s="4"/>
      <c r="G28" s="4"/>
    </row>
    <row r="29" spans="2:7" x14ac:dyDescent="0.25">
      <c r="B29" s="9"/>
      <c r="C29" s="1"/>
      <c r="D29" s="2"/>
      <c r="E29" s="2"/>
      <c r="F29" s="2"/>
      <c r="G29" s="2"/>
    </row>
    <row r="30" spans="2:7" x14ac:dyDescent="0.25">
      <c r="B30" s="8"/>
      <c r="C30" s="3"/>
      <c r="D30" s="4"/>
      <c r="E30" s="4"/>
      <c r="F30" s="4"/>
      <c r="G30" s="4"/>
    </row>
    <row r="31" spans="2:7" x14ac:dyDescent="0.25">
      <c r="B31" s="9"/>
      <c r="C31" s="1"/>
      <c r="D31" s="2"/>
      <c r="E31" s="2"/>
      <c r="F31" s="2"/>
      <c r="G31" s="2"/>
    </row>
    <row r="32" spans="2:7" x14ac:dyDescent="0.25">
      <c r="B32" s="8"/>
      <c r="C32" s="3"/>
      <c r="D32" s="4"/>
      <c r="E32" s="4"/>
      <c r="F32" s="4"/>
      <c r="G32" s="4"/>
    </row>
    <row r="33" spans="2:7" x14ac:dyDescent="0.25">
      <c r="B33" s="1"/>
      <c r="C33" s="1"/>
      <c r="D33" s="2"/>
      <c r="E33" s="2"/>
      <c r="F33" s="2"/>
      <c r="G33" s="2"/>
    </row>
    <row r="34" spans="2:7" x14ac:dyDescent="0.25">
      <c r="B34" s="3"/>
      <c r="C34" s="3"/>
      <c r="D34" s="4"/>
      <c r="E34" s="4"/>
      <c r="F34" s="4"/>
      <c r="G34" s="4"/>
    </row>
    <row r="35" spans="2:7" x14ac:dyDescent="0.25">
      <c r="B35" s="1"/>
      <c r="C35" s="1"/>
      <c r="D35" s="2"/>
      <c r="E35" s="2"/>
      <c r="F35" s="2"/>
      <c r="G35" s="2"/>
    </row>
  </sheetData>
  <mergeCells count="2">
    <mergeCell ref="B2:G2"/>
    <mergeCell ref="B1:G1"/>
  </mergeCells>
  <pageMargins left="0.511811024" right="0.511811024" top="0.78740157499999996" bottom="0.78740157499999996" header="0.31496062000000002" footer="0.31496062000000002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55322-21F6-498E-B297-0BB487D611E5}">
  <sheetPr>
    <pageSetUpPr fitToPage="1"/>
  </sheetPr>
  <dimension ref="B1:G35"/>
  <sheetViews>
    <sheetView zoomScale="90" zoomScaleNormal="90" workbookViewId="0">
      <selection activeCell="C11" sqref="C11"/>
    </sheetView>
  </sheetViews>
  <sheetFormatPr defaultRowHeight="15" x14ac:dyDescent="0.25"/>
  <cols>
    <col min="2" max="2" width="9.42578125" customWidth="1"/>
    <col min="3" max="3" width="31.85546875" bestFit="1" customWidth="1"/>
    <col min="4" max="4" width="31.42578125" bestFit="1" customWidth="1"/>
    <col min="5" max="5" width="10.140625" bestFit="1" customWidth="1"/>
    <col min="6" max="6" width="21.7109375" bestFit="1" customWidth="1"/>
    <col min="7" max="7" width="13.140625" bestFit="1" customWidth="1"/>
  </cols>
  <sheetData>
    <row r="1" spans="2:7" x14ac:dyDescent="0.25">
      <c r="B1" s="6" t="s">
        <v>59</v>
      </c>
      <c r="C1" s="6"/>
      <c r="D1" s="6"/>
      <c r="E1" s="6"/>
      <c r="F1" s="6"/>
      <c r="G1" s="6"/>
    </row>
    <row r="2" spans="2:7" ht="19.5" x14ac:dyDescent="0.3">
      <c r="B2" s="105" t="s">
        <v>56</v>
      </c>
      <c r="C2" s="105"/>
      <c r="D2" s="105"/>
      <c r="E2" s="105"/>
      <c r="F2" s="105"/>
      <c r="G2" s="106"/>
    </row>
    <row r="3" spans="2:7" ht="15.75" x14ac:dyDescent="0.25">
      <c r="B3" s="5" t="s">
        <v>67</v>
      </c>
      <c r="C3" s="5" t="s">
        <v>0</v>
      </c>
      <c r="D3" s="5" t="s">
        <v>71</v>
      </c>
      <c r="E3" s="5" t="s">
        <v>69</v>
      </c>
      <c r="F3" s="5" t="s">
        <v>70</v>
      </c>
      <c r="G3" s="5" t="s">
        <v>65</v>
      </c>
    </row>
    <row r="4" spans="2:7" x14ac:dyDescent="0.25">
      <c r="B4" s="10">
        <v>1</v>
      </c>
      <c r="C4" s="1"/>
      <c r="D4" s="2"/>
      <c r="E4" s="2"/>
      <c r="F4" s="2"/>
      <c r="G4" s="2"/>
    </row>
    <row r="5" spans="2:7" x14ac:dyDescent="0.25">
      <c r="B5" s="11">
        <v>2</v>
      </c>
      <c r="C5" s="3"/>
      <c r="D5" s="4"/>
      <c r="E5" s="4"/>
      <c r="F5" s="4"/>
      <c r="G5" s="4"/>
    </row>
    <row r="6" spans="2:7" x14ac:dyDescent="0.25">
      <c r="B6" s="10">
        <v>3</v>
      </c>
      <c r="C6" s="1"/>
      <c r="D6" s="2"/>
      <c r="E6" s="2"/>
      <c r="F6" s="2"/>
      <c r="G6" s="2"/>
    </row>
    <row r="7" spans="2:7" x14ac:dyDescent="0.25">
      <c r="B7" s="11"/>
      <c r="C7" s="3"/>
      <c r="D7" s="4"/>
      <c r="E7" s="4"/>
      <c r="F7" s="4"/>
      <c r="G7" s="4"/>
    </row>
    <row r="8" spans="2:7" x14ac:dyDescent="0.25">
      <c r="B8" s="10"/>
      <c r="C8" s="1"/>
      <c r="D8" s="2"/>
      <c r="E8" s="2"/>
      <c r="F8" s="2"/>
      <c r="G8" s="2"/>
    </row>
    <row r="9" spans="2:7" x14ac:dyDescent="0.25">
      <c r="B9" s="11"/>
      <c r="C9" s="3"/>
      <c r="D9" s="4"/>
      <c r="E9" s="4"/>
      <c r="F9" s="4"/>
      <c r="G9" s="4"/>
    </row>
    <row r="10" spans="2:7" x14ac:dyDescent="0.25">
      <c r="B10" s="10"/>
      <c r="C10" s="1"/>
      <c r="D10" s="2"/>
      <c r="E10" s="2"/>
      <c r="F10" s="2"/>
      <c r="G10" s="2"/>
    </row>
    <row r="11" spans="2:7" x14ac:dyDescent="0.25">
      <c r="B11" s="10"/>
      <c r="C11" s="1"/>
      <c r="D11" s="2"/>
      <c r="E11" s="2"/>
      <c r="F11" s="2"/>
      <c r="G11" s="2"/>
    </row>
    <row r="12" spans="2:7" x14ac:dyDescent="0.25">
      <c r="B12" s="11"/>
      <c r="C12" s="3"/>
      <c r="D12" s="4"/>
      <c r="E12" s="4"/>
      <c r="F12" s="4"/>
      <c r="G12" s="4"/>
    </row>
    <row r="13" spans="2:7" x14ac:dyDescent="0.25">
      <c r="B13" s="10"/>
      <c r="C13" s="1"/>
      <c r="D13" s="2"/>
      <c r="E13" s="2"/>
      <c r="F13" s="2"/>
      <c r="G13" s="2"/>
    </row>
    <row r="14" spans="2:7" x14ac:dyDescent="0.25">
      <c r="B14" s="11"/>
      <c r="C14" s="3"/>
      <c r="D14" s="4"/>
      <c r="E14" s="4"/>
      <c r="F14" s="4"/>
      <c r="G14" s="4"/>
    </row>
    <row r="15" spans="2:7" x14ac:dyDescent="0.25">
      <c r="B15" s="10"/>
      <c r="C15" s="1"/>
      <c r="D15" s="2"/>
      <c r="E15" s="2"/>
      <c r="F15" s="2"/>
      <c r="G15" s="2"/>
    </row>
    <row r="16" spans="2:7" x14ac:dyDescent="0.25">
      <c r="B16" s="11"/>
      <c r="C16" s="3"/>
      <c r="D16" s="4"/>
      <c r="E16" s="4"/>
      <c r="F16" s="4"/>
      <c r="G16" s="4"/>
    </row>
    <row r="17" spans="2:7" x14ac:dyDescent="0.25">
      <c r="B17" s="10"/>
      <c r="C17" s="1"/>
      <c r="D17" s="2"/>
      <c r="E17" s="2"/>
      <c r="F17" s="2"/>
      <c r="G17" s="2"/>
    </row>
    <row r="18" spans="2:7" x14ac:dyDescent="0.25">
      <c r="B18" s="11"/>
      <c r="C18" s="3"/>
      <c r="D18" s="4"/>
      <c r="E18" s="4"/>
      <c r="F18" s="4"/>
      <c r="G18" s="4"/>
    </row>
    <row r="19" spans="2:7" x14ac:dyDescent="0.25">
      <c r="B19" s="10"/>
      <c r="C19" s="1"/>
      <c r="D19" s="2"/>
      <c r="E19" s="2"/>
      <c r="F19" s="2"/>
      <c r="G19" s="2"/>
    </row>
    <row r="20" spans="2:7" x14ac:dyDescent="0.25">
      <c r="B20" s="11"/>
      <c r="C20" s="3"/>
      <c r="D20" s="4"/>
      <c r="E20" s="4"/>
      <c r="F20" s="4"/>
      <c r="G20" s="4"/>
    </row>
    <row r="21" spans="2:7" x14ac:dyDescent="0.25">
      <c r="B21" s="10"/>
      <c r="C21" s="1"/>
      <c r="D21" s="2"/>
      <c r="E21" s="2"/>
      <c r="F21" s="2"/>
      <c r="G21" s="2"/>
    </row>
    <row r="22" spans="2:7" x14ac:dyDescent="0.25">
      <c r="B22" s="11"/>
      <c r="C22" s="3"/>
      <c r="D22" s="4"/>
      <c r="E22" s="4"/>
      <c r="F22" s="4"/>
      <c r="G22" s="4"/>
    </row>
    <row r="23" spans="2:7" x14ac:dyDescent="0.25">
      <c r="B23" s="10"/>
      <c r="C23" s="1"/>
      <c r="D23" s="2"/>
      <c r="E23" s="2"/>
      <c r="F23" s="2"/>
      <c r="G23" s="2"/>
    </row>
    <row r="24" spans="2:7" x14ac:dyDescent="0.25">
      <c r="B24" s="11"/>
      <c r="C24" s="3"/>
      <c r="D24" s="4"/>
      <c r="E24" s="4"/>
      <c r="F24" s="4"/>
      <c r="G24" s="4"/>
    </row>
    <row r="25" spans="2:7" x14ac:dyDescent="0.25">
      <c r="B25" s="10"/>
      <c r="C25" s="1"/>
      <c r="D25" s="2"/>
      <c r="E25" s="2"/>
      <c r="F25" s="2"/>
      <c r="G25" s="2"/>
    </row>
    <row r="26" spans="2:7" x14ac:dyDescent="0.25">
      <c r="B26" s="11"/>
      <c r="C26" s="3"/>
      <c r="D26" s="4"/>
      <c r="E26" s="4"/>
      <c r="F26" s="4"/>
      <c r="G26" s="4"/>
    </row>
    <row r="27" spans="2:7" x14ac:dyDescent="0.25">
      <c r="B27" s="10"/>
      <c r="C27" s="1"/>
      <c r="D27" s="2"/>
      <c r="E27" s="2"/>
      <c r="F27" s="2"/>
      <c r="G27" s="2"/>
    </row>
    <row r="28" spans="2:7" x14ac:dyDescent="0.25">
      <c r="B28" s="11"/>
      <c r="C28" s="3"/>
      <c r="D28" s="4"/>
      <c r="E28" s="4"/>
      <c r="F28" s="4"/>
      <c r="G28" s="4"/>
    </row>
    <row r="29" spans="2:7" x14ac:dyDescent="0.25">
      <c r="B29" s="10"/>
      <c r="C29" s="1"/>
      <c r="D29" s="2"/>
      <c r="E29" s="2"/>
      <c r="F29" s="2"/>
      <c r="G29" s="2"/>
    </row>
    <row r="30" spans="2:7" x14ac:dyDescent="0.25">
      <c r="B30" s="11"/>
      <c r="C30" s="3"/>
      <c r="D30" s="4"/>
      <c r="E30" s="4"/>
      <c r="F30" s="4"/>
      <c r="G30" s="4"/>
    </row>
    <row r="31" spans="2:7" x14ac:dyDescent="0.25">
      <c r="B31" s="10"/>
      <c r="C31" s="1"/>
      <c r="D31" s="2"/>
      <c r="E31" s="2"/>
      <c r="F31" s="2"/>
      <c r="G31" s="2"/>
    </row>
    <row r="32" spans="2:7" x14ac:dyDescent="0.25">
      <c r="B32" s="11"/>
      <c r="C32" s="3"/>
      <c r="D32" s="4"/>
      <c r="E32" s="4"/>
      <c r="F32" s="4"/>
      <c r="G32" s="4"/>
    </row>
    <row r="33" spans="2:7" x14ac:dyDescent="0.25">
      <c r="B33" s="10"/>
      <c r="C33" s="1"/>
      <c r="D33" s="2"/>
      <c r="E33" s="2"/>
      <c r="F33" s="2"/>
      <c r="G33" s="2"/>
    </row>
    <row r="34" spans="2:7" x14ac:dyDescent="0.25">
      <c r="B34" s="11"/>
      <c r="C34" s="3"/>
      <c r="D34" s="4"/>
      <c r="E34" s="4"/>
      <c r="F34" s="4"/>
      <c r="G34" s="4"/>
    </row>
    <row r="35" spans="2:7" x14ac:dyDescent="0.25">
      <c r="B35" s="10"/>
      <c r="C35" s="1"/>
      <c r="D35" s="2"/>
      <c r="E35" s="2"/>
      <c r="F35" s="2"/>
      <c r="G35" s="2"/>
    </row>
  </sheetData>
  <mergeCells count="1">
    <mergeCell ref="B2:G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E31F7-A92A-4142-82DE-065109BCB666}">
  <dimension ref="B1:G48"/>
  <sheetViews>
    <sheetView tabSelected="1" zoomScale="90" zoomScaleNormal="90" workbookViewId="0">
      <selection activeCell="B2" sqref="B2:G2"/>
    </sheetView>
  </sheetViews>
  <sheetFormatPr defaultRowHeight="15" x14ac:dyDescent="0.25"/>
  <cols>
    <col min="2" max="2" width="10.42578125" customWidth="1"/>
    <col min="3" max="3" width="26.85546875" bestFit="1" customWidth="1"/>
    <col min="4" max="4" width="78.42578125" customWidth="1"/>
    <col min="5" max="5" width="21.7109375" bestFit="1" customWidth="1"/>
    <col min="6" max="6" width="13.140625" bestFit="1" customWidth="1"/>
    <col min="7" max="7" width="20.7109375" bestFit="1" customWidth="1"/>
  </cols>
  <sheetData>
    <row r="1" spans="2:7" x14ac:dyDescent="0.25">
      <c r="B1" s="6" t="s">
        <v>116</v>
      </c>
      <c r="C1" s="6"/>
      <c r="D1" s="6"/>
      <c r="E1" s="6"/>
      <c r="F1" s="6"/>
      <c r="G1" s="6"/>
    </row>
    <row r="2" spans="2:7" ht="19.5" x14ac:dyDescent="0.3">
      <c r="B2" s="105" t="s">
        <v>57</v>
      </c>
      <c r="C2" s="105"/>
      <c r="D2" s="105"/>
      <c r="E2" s="105"/>
      <c r="F2" s="105"/>
      <c r="G2" s="106"/>
    </row>
    <row r="3" spans="2:7" ht="15.75" x14ac:dyDescent="0.25">
      <c r="B3" s="51" t="s">
        <v>67</v>
      </c>
      <c r="C3" s="51" t="s">
        <v>0</v>
      </c>
      <c r="D3" s="51" t="s">
        <v>69</v>
      </c>
      <c r="E3" s="51" t="s">
        <v>70</v>
      </c>
      <c r="F3" s="51" t="s">
        <v>65</v>
      </c>
      <c r="G3" s="51" t="s">
        <v>66</v>
      </c>
    </row>
    <row r="4" spans="2:7" x14ac:dyDescent="0.25">
      <c r="B4" s="52">
        <v>1</v>
      </c>
      <c r="C4" s="131" t="s">
        <v>136</v>
      </c>
      <c r="D4" s="131" t="s">
        <v>137</v>
      </c>
      <c r="E4" s="133" t="s">
        <v>138</v>
      </c>
      <c r="F4" s="127"/>
      <c r="G4" s="56"/>
    </row>
    <row r="5" spans="2:7" x14ac:dyDescent="0.25">
      <c r="B5" s="57">
        <v>2</v>
      </c>
      <c r="C5" s="132" t="s">
        <v>136</v>
      </c>
      <c r="D5" s="132" t="s">
        <v>139</v>
      </c>
      <c r="E5" s="134" t="s">
        <v>138</v>
      </c>
      <c r="F5" s="128"/>
      <c r="G5" s="61"/>
    </row>
    <row r="6" spans="2:7" x14ac:dyDescent="0.25">
      <c r="B6" s="52">
        <v>3</v>
      </c>
      <c r="C6" s="131" t="s">
        <v>140</v>
      </c>
      <c r="D6" s="131" t="s">
        <v>141</v>
      </c>
      <c r="E6" s="133" t="s">
        <v>142</v>
      </c>
      <c r="F6" s="127"/>
      <c r="G6" s="56"/>
    </row>
    <row r="7" spans="2:7" x14ac:dyDescent="0.25">
      <c r="B7" s="57">
        <v>4</v>
      </c>
      <c r="C7" s="132" t="s">
        <v>136</v>
      </c>
      <c r="D7" s="132" t="s">
        <v>143</v>
      </c>
      <c r="E7" s="136">
        <v>46044</v>
      </c>
      <c r="F7" s="128"/>
      <c r="G7" s="61"/>
    </row>
    <row r="8" spans="2:7" x14ac:dyDescent="0.25">
      <c r="B8" s="52">
        <v>5</v>
      </c>
      <c r="C8" s="131" t="s">
        <v>36</v>
      </c>
      <c r="D8" s="131" t="s">
        <v>144</v>
      </c>
      <c r="E8" s="135">
        <v>46044</v>
      </c>
      <c r="F8" s="127"/>
      <c r="G8" s="56"/>
    </row>
    <row r="9" spans="2:7" x14ac:dyDescent="0.25">
      <c r="B9" s="57">
        <v>6</v>
      </c>
      <c r="C9" s="132" t="s">
        <v>36</v>
      </c>
      <c r="D9" s="132" t="s">
        <v>129</v>
      </c>
      <c r="E9" s="136">
        <v>46044</v>
      </c>
      <c r="F9" s="128"/>
      <c r="G9" s="61"/>
    </row>
    <row r="10" spans="2:7" x14ac:dyDescent="0.25">
      <c r="B10" s="52"/>
      <c r="C10" s="129"/>
      <c r="D10" s="129"/>
      <c r="E10" s="130"/>
      <c r="F10" s="55"/>
      <c r="G10" s="56"/>
    </row>
    <row r="11" spans="2:7" x14ac:dyDescent="0.25">
      <c r="B11" s="57"/>
      <c r="C11" s="58"/>
      <c r="D11" s="58"/>
      <c r="E11" s="59"/>
      <c r="F11" s="60"/>
      <c r="G11" s="61"/>
    </row>
    <row r="12" spans="2:7" x14ac:dyDescent="0.25">
      <c r="B12" s="52"/>
      <c r="C12" s="53"/>
      <c r="D12" s="53"/>
      <c r="E12" s="54"/>
      <c r="F12" s="55"/>
      <c r="G12" s="56"/>
    </row>
    <row r="13" spans="2:7" x14ac:dyDescent="0.25">
      <c r="B13" s="57"/>
      <c r="C13" s="58"/>
      <c r="D13" s="58"/>
      <c r="E13" s="59"/>
      <c r="F13" s="60"/>
      <c r="G13" s="61"/>
    </row>
    <row r="14" spans="2:7" x14ac:dyDescent="0.25">
      <c r="B14" s="52"/>
      <c r="C14" s="53"/>
      <c r="D14" s="53"/>
      <c r="E14" s="54"/>
      <c r="F14" s="55"/>
      <c r="G14" s="56"/>
    </row>
    <row r="15" spans="2:7" x14ac:dyDescent="0.25">
      <c r="B15" s="57"/>
      <c r="C15" s="58"/>
      <c r="D15" s="58"/>
      <c r="E15" s="59"/>
      <c r="F15" s="60"/>
      <c r="G15" s="61"/>
    </row>
    <row r="16" spans="2:7" x14ac:dyDescent="0.25">
      <c r="B16" s="52"/>
      <c r="C16" s="53"/>
      <c r="D16" s="53"/>
      <c r="E16" s="54"/>
      <c r="F16" s="55"/>
      <c r="G16" s="56"/>
    </row>
    <row r="17" spans="2:7" x14ac:dyDescent="0.25">
      <c r="B17" s="57"/>
      <c r="C17" s="58"/>
      <c r="D17" s="76"/>
      <c r="E17" s="59"/>
      <c r="F17" s="60"/>
      <c r="G17" s="61"/>
    </row>
    <row r="18" spans="2:7" x14ac:dyDescent="0.25">
      <c r="B18" s="52"/>
      <c r="C18" s="53"/>
      <c r="D18" s="53"/>
      <c r="E18" s="54"/>
      <c r="F18" s="55"/>
      <c r="G18" s="56"/>
    </row>
    <row r="19" spans="2:7" x14ac:dyDescent="0.25">
      <c r="B19" s="57"/>
      <c r="C19" s="37"/>
      <c r="D19" s="62"/>
      <c r="E19" s="63"/>
      <c r="F19" s="45"/>
      <c r="G19" s="64"/>
    </row>
    <row r="20" spans="2:7" x14ac:dyDescent="0.25">
      <c r="B20" s="52"/>
      <c r="C20" s="40"/>
      <c r="D20" s="70"/>
      <c r="E20" s="65"/>
      <c r="F20" s="44"/>
      <c r="G20" s="66"/>
    </row>
    <row r="21" spans="2:7" x14ac:dyDescent="0.25">
      <c r="B21" s="57"/>
      <c r="C21" s="37"/>
      <c r="D21" s="62"/>
      <c r="E21" s="63"/>
      <c r="F21" s="45"/>
      <c r="G21" s="64"/>
    </row>
    <row r="22" spans="2:7" x14ac:dyDescent="0.25">
      <c r="B22" s="52"/>
      <c r="C22" s="40"/>
      <c r="D22" s="44"/>
      <c r="E22" s="65"/>
      <c r="F22" s="44"/>
      <c r="G22" s="66"/>
    </row>
    <row r="23" spans="2:7" x14ac:dyDescent="0.25">
      <c r="B23" s="57"/>
      <c r="C23" s="37"/>
      <c r="D23" s="45"/>
      <c r="E23" s="63"/>
      <c r="F23" s="45"/>
      <c r="G23" s="64"/>
    </row>
    <row r="24" spans="2:7" x14ac:dyDescent="0.25">
      <c r="B24" s="52"/>
      <c r="C24" s="40"/>
      <c r="D24" s="44"/>
      <c r="E24" s="65"/>
      <c r="F24" s="44"/>
      <c r="G24" s="66"/>
    </row>
    <row r="25" spans="2:7" x14ac:dyDescent="0.25">
      <c r="B25" s="57"/>
      <c r="C25" s="37"/>
      <c r="D25" s="45"/>
      <c r="E25" s="63"/>
      <c r="F25" s="45"/>
      <c r="G25" s="64"/>
    </row>
    <row r="26" spans="2:7" x14ac:dyDescent="0.25">
      <c r="B26" s="52"/>
      <c r="C26" s="40"/>
      <c r="D26" s="44"/>
      <c r="E26" s="65"/>
      <c r="F26" s="44"/>
      <c r="G26" s="66"/>
    </row>
    <row r="27" spans="2:7" x14ac:dyDescent="0.25">
      <c r="B27" s="57"/>
      <c r="C27" s="37"/>
      <c r="D27" s="45"/>
      <c r="E27" s="63"/>
      <c r="F27" s="45"/>
      <c r="G27" s="64"/>
    </row>
    <row r="28" spans="2:7" x14ac:dyDescent="0.25">
      <c r="B28" s="52"/>
      <c r="C28" s="40"/>
      <c r="D28" s="44"/>
      <c r="E28" s="65"/>
      <c r="F28" s="44"/>
      <c r="G28" s="66"/>
    </row>
    <row r="29" spans="2:7" x14ac:dyDescent="0.25">
      <c r="B29" s="57"/>
      <c r="C29" s="37"/>
      <c r="D29" s="45"/>
      <c r="E29" s="63"/>
      <c r="F29" s="45"/>
      <c r="G29" s="64"/>
    </row>
    <row r="30" spans="2:7" x14ac:dyDescent="0.25">
      <c r="B30" s="67"/>
      <c r="C30" s="40"/>
      <c r="D30" s="44"/>
      <c r="E30" s="65"/>
      <c r="F30" s="44"/>
      <c r="G30" s="66"/>
    </row>
    <row r="31" spans="2:7" x14ac:dyDescent="0.25">
      <c r="B31" s="71"/>
      <c r="C31" s="37"/>
      <c r="D31" s="45"/>
      <c r="E31" s="45"/>
      <c r="F31" s="45"/>
      <c r="G31" s="38"/>
    </row>
    <row r="32" spans="2:7" x14ac:dyDescent="0.25">
      <c r="B32" s="67"/>
      <c r="C32" s="40"/>
      <c r="D32" s="44"/>
      <c r="E32" s="44"/>
      <c r="F32" s="44"/>
      <c r="G32" s="41"/>
    </row>
    <row r="33" spans="2:7" x14ac:dyDescent="0.25">
      <c r="B33" s="71"/>
      <c r="C33" s="37"/>
      <c r="D33" s="45"/>
      <c r="E33" s="45"/>
      <c r="F33" s="45"/>
      <c r="G33" s="38"/>
    </row>
    <row r="34" spans="2:7" x14ac:dyDescent="0.25">
      <c r="B34" s="67"/>
      <c r="C34" s="40"/>
      <c r="D34" s="44"/>
      <c r="E34" s="44"/>
      <c r="F34" s="44"/>
      <c r="G34" s="41"/>
    </row>
    <row r="35" spans="2:7" x14ac:dyDescent="0.25">
      <c r="B35" s="71"/>
      <c r="C35" s="37"/>
      <c r="D35" s="45"/>
      <c r="E35" s="45"/>
      <c r="F35" s="45"/>
      <c r="G35" s="38"/>
    </row>
    <row r="36" spans="2:7" x14ac:dyDescent="0.25">
      <c r="B36" s="67"/>
      <c r="C36" s="40"/>
      <c r="D36" s="44"/>
      <c r="E36" s="44"/>
      <c r="F36" s="44"/>
      <c r="G36" s="41"/>
    </row>
    <row r="37" spans="2:7" x14ac:dyDescent="0.25">
      <c r="B37" s="71"/>
      <c r="C37" s="37"/>
      <c r="D37" s="45"/>
      <c r="E37" s="45"/>
      <c r="F37" s="45"/>
      <c r="G37" s="38"/>
    </row>
    <row r="38" spans="2:7" x14ac:dyDescent="0.25">
      <c r="B38" s="67"/>
      <c r="C38" s="40"/>
      <c r="D38" s="44"/>
      <c r="E38" s="44"/>
      <c r="F38" s="44"/>
      <c r="G38" s="41"/>
    </row>
    <row r="39" spans="2:7" x14ac:dyDescent="0.25">
      <c r="B39" s="71"/>
      <c r="C39" s="37"/>
      <c r="D39" s="45"/>
      <c r="E39" s="45"/>
      <c r="F39" s="45"/>
      <c r="G39" s="38"/>
    </row>
    <row r="40" spans="2:7" x14ac:dyDescent="0.25">
      <c r="B40" s="67"/>
      <c r="C40" s="40"/>
      <c r="D40" s="44"/>
      <c r="E40" s="44"/>
      <c r="F40" s="44"/>
      <c r="G40" s="41"/>
    </row>
    <row r="41" spans="2:7" x14ac:dyDescent="0.25">
      <c r="B41" s="71"/>
      <c r="C41" s="37"/>
      <c r="D41" s="45"/>
      <c r="E41" s="45"/>
      <c r="F41" s="45"/>
      <c r="G41" s="38"/>
    </row>
    <row r="42" spans="2:7" x14ac:dyDescent="0.25">
      <c r="B42" s="67"/>
      <c r="C42" s="40"/>
      <c r="D42" s="44"/>
      <c r="E42" s="44"/>
      <c r="F42" s="44"/>
      <c r="G42" s="41"/>
    </row>
    <row r="43" spans="2:7" x14ac:dyDescent="0.25">
      <c r="B43" s="71"/>
      <c r="C43" s="37"/>
      <c r="D43" s="45"/>
      <c r="E43" s="45"/>
      <c r="F43" s="45"/>
      <c r="G43" s="38"/>
    </row>
    <row r="44" spans="2:7" x14ac:dyDescent="0.25">
      <c r="B44" s="67"/>
      <c r="C44" s="40"/>
      <c r="D44" s="44"/>
      <c r="E44" s="44"/>
      <c r="F44" s="44"/>
      <c r="G44" s="41"/>
    </row>
    <row r="45" spans="2:7" x14ac:dyDescent="0.25">
      <c r="B45" s="71"/>
      <c r="C45" s="37"/>
      <c r="D45" s="45"/>
      <c r="E45" s="45"/>
      <c r="F45" s="45"/>
      <c r="G45" s="38"/>
    </row>
    <row r="46" spans="2:7" x14ac:dyDescent="0.25">
      <c r="B46" s="68"/>
      <c r="C46" s="40"/>
      <c r="D46" s="44"/>
      <c r="E46" s="44"/>
      <c r="F46" s="44"/>
      <c r="G46" s="41"/>
    </row>
    <row r="47" spans="2:7" x14ac:dyDescent="0.25">
      <c r="B47" s="95"/>
      <c r="C47" s="37"/>
      <c r="D47" s="45"/>
      <c r="E47" s="45"/>
      <c r="F47" s="45"/>
      <c r="G47" s="38"/>
    </row>
    <row r="48" spans="2:7" x14ac:dyDescent="0.25">
      <c r="B48" s="101"/>
      <c r="C48" s="69"/>
      <c r="D48" s="42"/>
      <c r="E48" s="42"/>
      <c r="F48" s="42"/>
      <c r="G48" s="43"/>
    </row>
  </sheetData>
  <mergeCells count="1">
    <mergeCell ref="B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8920-9EC1-487C-A9E4-E60B2E3859D2}">
  <sheetPr>
    <pageSetUpPr fitToPage="1"/>
  </sheetPr>
  <dimension ref="B1:G35"/>
  <sheetViews>
    <sheetView zoomScale="90" zoomScaleNormal="90" workbookViewId="0">
      <selection activeCell="C4" sqref="C4"/>
    </sheetView>
  </sheetViews>
  <sheetFormatPr defaultRowHeight="15" x14ac:dyDescent="0.25"/>
  <cols>
    <col min="2" max="2" width="3.28515625" bestFit="1" customWidth="1"/>
    <col min="3" max="3" width="15.28515625" customWidth="1"/>
    <col min="4" max="4" width="20.28515625" bestFit="1" customWidth="1"/>
    <col min="5" max="5" width="32.7109375" bestFit="1" customWidth="1"/>
    <col min="6" max="6" width="21.7109375" bestFit="1" customWidth="1"/>
    <col min="7" max="7" width="21.42578125" bestFit="1" customWidth="1"/>
  </cols>
  <sheetData>
    <row r="1" spans="2:7" x14ac:dyDescent="0.25">
      <c r="B1" s="6" t="s">
        <v>62</v>
      </c>
      <c r="C1" s="6"/>
      <c r="D1" s="6"/>
      <c r="E1" s="6"/>
      <c r="F1" s="6"/>
      <c r="G1" s="6"/>
    </row>
    <row r="2" spans="2:7" ht="19.5" x14ac:dyDescent="0.3">
      <c r="B2" s="105" t="s">
        <v>58</v>
      </c>
      <c r="C2" s="105"/>
      <c r="D2" s="105"/>
      <c r="E2" s="105"/>
      <c r="F2" s="105"/>
      <c r="G2" s="106"/>
    </row>
    <row r="3" spans="2:7" ht="15.75" x14ac:dyDescent="0.25">
      <c r="B3" s="5" t="s">
        <v>67</v>
      </c>
      <c r="C3" s="5" t="s">
        <v>0</v>
      </c>
      <c r="D3" s="5" t="s">
        <v>72</v>
      </c>
      <c r="E3" s="5" t="s">
        <v>69</v>
      </c>
      <c r="F3" s="5" t="s">
        <v>70</v>
      </c>
      <c r="G3" s="5" t="s">
        <v>65</v>
      </c>
    </row>
    <row r="4" spans="2:7" x14ac:dyDescent="0.25">
      <c r="B4" s="22">
        <v>1</v>
      </c>
      <c r="C4" s="13"/>
      <c r="D4" s="13"/>
      <c r="E4" s="14"/>
      <c r="F4" s="15"/>
      <c r="G4" s="13"/>
    </row>
    <row r="5" spans="2:7" x14ac:dyDescent="0.25">
      <c r="B5" s="23">
        <v>2</v>
      </c>
      <c r="C5" s="16"/>
      <c r="D5" s="16"/>
      <c r="E5" s="17"/>
      <c r="F5" s="18"/>
      <c r="G5" s="16"/>
    </row>
    <row r="6" spans="2:7" x14ac:dyDescent="0.25">
      <c r="B6" s="22">
        <v>3</v>
      </c>
      <c r="C6" s="13"/>
      <c r="D6" s="13"/>
      <c r="E6" s="14"/>
      <c r="F6" s="19"/>
      <c r="G6" s="13"/>
    </row>
    <row r="7" spans="2:7" x14ac:dyDescent="0.25">
      <c r="B7" s="24">
        <v>4</v>
      </c>
      <c r="C7" s="20"/>
      <c r="D7" s="21"/>
      <c r="E7" s="21"/>
      <c r="F7" s="21"/>
      <c r="G7" s="21"/>
    </row>
    <row r="8" spans="2:7" x14ac:dyDescent="0.25">
      <c r="B8" s="10"/>
      <c r="C8" s="1"/>
      <c r="D8" s="2"/>
      <c r="E8" s="2"/>
      <c r="F8" s="2"/>
      <c r="G8" s="2"/>
    </row>
    <row r="9" spans="2:7" x14ac:dyDescent="0.25">
      <c r="B9" s="11"/>
      <c r="C9" s="3"/>
      <c r="D9" s="4"/>
      <c r="E9" s="4"/>
      <c r="F9" s="4"/>
      <c r="G9" s="4"/>
    </row>
    <row r="10" spans="2:7" x14ac:dyDescent="0.25">
      <c r="B10" s="10"/>
      <c r="C10" s="1"/>
      <c r="D10" s="2"/>
      <c r="E10" s="2"/>
      <c r="F10" s="2"/>
      <c r="G10" s="2"/>
    </row>
    <row r="11" spans="2:7" x14ac:dyDescent="0.25">
      <c r="B11" s="10"/>
      <c r="C11" s="1"/>
      <c r="D11" s="2"/>
      <c r="E11" s="2"/>
      <c r="F11" s="2"/>
      <c r="G11" s="2"/>
    </row>
    <row r="12" spans="2:7" x14ac:dyDescent="0.25">
      <c r="B12" s="11"/>
      <c r="C12" s="3"/>
      <c r="D12" s="4"/>
      <c r="E12" s="4"/>
      <c r="F12" s="4"/>
      <c r="G12" s="4"/>
    </row>
    <row r="13" spans="2:7" x14ac:dyDescent="0.25">
      <c r="B13" s="10"/>
      <c r="C13" s="1"/>
      <c r="D13" s="2"/>
      <c r="E13" s="2"/>
      <c r="F13" s="2"/>
      <c r="G13" s="2"/>
    </row>
    <row r="14" spans="2:7" x14ac:dyDescent="0.25">
      <c r="B14" s="11"/>
      <c r="C14" s="3"/>
      <c r="D14" s="4"/>
      <c r="E14" s="4"/>
      <c r="F14" s="4"/>
      <c r="G14" s="4"/>
    </row>
    <row r="15" spans="2:7" x14ac:dyDescent="0.25">
      <c r="B15" s="10"/>
      <c r="C15" s="1"/>
      <c r="D15" s="2"/>
      <c r="E15" s="2"/>
      <c r="F15" s="2"/>
      <c r="G15" s="2"/>
    </row>
    <row r="16" spans="2:7" x14ac:dyDescent="0.25">
      <c r="B16" s="11"/>
      <c r="C16" s="3"/>
      <c r="D16" s="4"/>
      <c r="E16" s="4"/>
      <c r="F16" s="4"/>
      <c r="G16" s="4"/>
    </row>
    <row r="17" spans="2:7" x14ac:dyDescent="0.25">
      <c r="B17" s="10"/>
      <c r="C17" s="1"/>
      <c r="D17" s="2"/>
      <c r="E17" s="2"/>
      <c r="F17" s="2"/>
      <c r="G17" s="2"/>
    </row>
    <row r="18" spans="2:7" x14ac:dyDescent="0.25">
      <c r="B18" s="11"/>
      <c r="C18" s="3"/>
      <c r="D18" s="4"/>
      <c r="E18" s="4"/>
      <c r="F18" s="4"/>
      <c r="G18" s="4"/>
    </row>
    <row r="19" spans="2:7" x14ac:dyDescent="0.25">
      <c r="B19" s="10"/>
      <c r="C19" s="1"/>
      <c r="D19" s="2"/>
      <c r="E19" s="2"/>
      <c r="F19" s="2"/>
      <c r="G19" s="2"/>
    </row>
    <row r="20" spans="2:7" x14ac:dyDescent="0.25">
      <c r="B20" s="11"/>
      <c r="C20" s="3"/>
      <c r="D20" s="4"/>
      <c r="E20" s="4"/>
      <c r="F20" s="4"/>
      <c r="G20" s="4"/>
    </row>
    <row r="21" spans="2:7" x14ac:dyDescent="0.25">
      <c r="B21" s="10"/>
      <c r="C21" s="1"/>
      <c r="D21" s="2"/>
      <c r="E21" s="2"/>
      <c r="F21" s="2"/>
      <c r="G21" s="2"/>
    </row>
    <row r="22" spans="2:7" x14ac:dyDescent="0.25">
      <c r="B22" s="11"/>
      <c r="C22" s="3"/>
      <c r="D22" s="4"/>
      <c r="E22" s="4"/>
      <c r="F22" s="4"/>
      <c r="G22" s="4"/>
    </row>
    <row r="23" spans="2:7" x14ac:dyDescent="0.25">
      <c r="B23" s="10"/>
      <c r="C23" s="1"/>
      <c r="D23" s="2"/>
      <c r="E23" s="2"/>
      <c r="F23" s="2"/>
      <c r="G23" s="2"/>
    </row>
    <row r="24" spans="2:7" x14ac:dyDescent="0.25">
      <c r="B24" s="11"/>
      <c r="C24" s="3"/>
      <c r="D24" s="4"/>
      <c r="E24" s="4"/>
      <c r="F24" s="4"/>
      <c r="G24" s="4"/>
    </row>
    <row r="25" spans="2:7" x14ac:dyDescent="0.25">
      <c r="B25" s="10"/>
      <c r="C25" s="1"/>
      <c r="D25" s="2"/>
      <c r="E25" s="2"/>
      <c r="F25" s="2"/>
      <c r="G25" s="2"/>
    </row>
    <row r="26" spans="2:7" x14ac:dyDescent="0.25">
      <c r="B26" s="11"/>
      <c r="C26" s="3"/>
      <c r="D26" s="4"/>
      <c r="E26" s="4"/>
      <c r="F26" s="4"/>
      <c r="G26" s="4"/>
    </row>
    <row r="27" spans="2:7" x14ac:dyDescent="0.25">
      <c r="B27" s="10"/>
      <c r="C27" s="1"/>
      <c r="D27" s="2"/>
      <c r="E27" s="2"/>
      <c r="F27" s="2"/>
      <c r="G27" s="2"/>
    </row>
    <row r="28" spans="2:7" x14ac:dyDescent="0.25">
      <c r="B28" s="11"/>
      <c r="C28" s="3"/>
      <c r="D28" s="4"/>
      <c r="E28" s="4"/>
      <c r="F28" s="4"/>
      <c r="G28" s="4"/>
    </row>
    <row r="29" spans="2:7" x14ac:dyDescent="0.25">
      <c r="B29" s="10"/>
      <c r="C29" s="1"/>
      <c r="D29" s="2"/>
      <c r="E29" s="2"/>
      <c r="F29" s="2"/>
      <c r="G29" s="2"/>
    </row>
    <row r="30" spans="2:7" x14ac:dyDescent="0.25">
      <c r="B30" s="11"/>
      <c r="C30" s="3"/>
      <c r="D30" s="4"/>
      <c r="E30" s="4"/>
      <c r="F30" s="4"/>
      <c r="G30" s="4"/>
    </row>
    <row r="31" spans="2:7" x14ac:dyDescent="0.25">
      <c r="B31" s="10"/>
      <c r="C31" s="1"/>
      <c r="D31" s="2"/>
      <c r="E31" s="2"/>
      <c r="F31" s="2"/>
      <c r="G31" s="2"/>
    </row>
    <row r="32" spans="2:7" x14ac:dyDescent="0.25">
      <c r="B32" s="11"/>
      <c r="C32" s="3"/>
      <c r="D32" s="4"/>
      <c r="E32" s="4"/>
      <c r="F32" s="4"/>
      <c r="G32" s="4"/>
    </row>
    <row r="33" spans="2:7" x14ac:dyDescent="0.25">
      <c r="B33" s="10"/>
      <c r="C33" s="1"/>
      <c r="D33" s="2"/>
      <c r="E33" s="2"/>
      <c r="F33" s="2"/>
      <c r="G33" s="2"/>
    </row>
    <row r="34" spans="2:7" x14ac:dyDescent="0.25">
      <c r="B34" s="11"/>
      <c r="C34" s="3"/>
      <c r="D34" s="4"/>
      <c r="E34" s="4"/>
      <c r="F34" s="4"/>
      <c r="G34" s="4"/>
    </row>
    <row r="35" spans="2:7" x14ac:dyDescent="0.25">
      <c r="B35" s="10"/>
      <c r="C35" s="1"/>
      <c r="D35" s="2"/>
      <c r="E35" s="2"/>
      <c r="F35" s="2"/>
      <c r="G35" s="2"/>
    </row>
  </sheetData>
  <mergeCells count="1">
    <mergeCell ref="B2:G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AF1A-1DB1-4ABA-B71D-71FA87D059F2}">
  <sheetPr>
    <pageSetUpPr fitToPage="1"/>
  </sheetPr>
  <dimension ref="B1:Q156"/>
  <sheetViews>
    <sheetView zoomScale="90" zoomScaleNormal="90" workbookViewId="0">
      <selection activeCell="D158" sqref="D158"/>
    </sheetView>
  </sheetViews>
  <sheetFormatPr defaultRowHeight="15" x14ac:dyDescent="0.25"/>
  <cols>
    <col min="1" max="1" width="9.140625" style="31"/>
    <col min="2" max="2" width="33.5703125" style="31" customWidth="1"/>
    <col min="3" max="3" width="46.85546875" style="31" customWidth="1"/>
    <col min="4" max="13" width="11.42578125" style="31" customWidth="1"/>
    <col min="14" max="14" width="10.85546875" style="31" customWidth="1"/>
    <col min="15" max="15" width="13.140625" style="31" customWidth="1"/>
    <col min="16" max="16" width="13.140625" style="32" bestFit="1" customWidth="1"/>
    <col min="17" max="16384" width="9.140625" style="31"/>
  </cols>
  <sheetData>
    <row r="1" spans="2:16" x14ac:dyDescent="0.25">
      <c r="B1" s="30" t="s">
        <v>48</v>
      </c>
    </row>
    <row r="2" spans="2:16" ht="19.5" x14ac:dyDescent="0.3">
      <c r="B2" s="108" t="s">
        <v>73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10"/>
    </row>
    <row r="3" spans="2:16" ht="15.75" x14ac:dyDescent="0.25">
      <c r="B3" s="33" t="s">
        <v>0</v>
      </c>
      <c r="C3" s="33" t="s">
        <v>1</v>
      </c>
      <c r="D3" s="33" t="s">
        <v>3</v>
      </c>
      <c r="E3" s="33" t="s">
        <v>4</v>
      </c>
      <c r="F3" s="33" t="s">
        <v>5</v>
      </c>
      <c r="G3" s="33" t="s">
        <v>6</v>
      </c>
      <c r="H3" s="33" t="s">
        <v>7</v>
      </c>
      <c r="I3" s="33" t="s">
        <v>8</v>
      </c>
      <c r="J3" s="33" t="s">
        <v>9</v>
      </c>
      <c r="K3" s="33" t="s">
        <v>10</v>
      </c>
      <c r="L3" s="33" t="s">
        <v>11</v>
      </c>
      <c r="M3" s="33" t="s">
        <v>12</v>
      </c>
      <c r="N3" s="33" t="s">
        <v>13</v>
      </c>
      <c r="O3" s="33" t="s">
        <v>14</v>
      </c>
      <c r="P3" s="34" t="s">
        <v>2</v>
      </c>
    </row>
    <row r="4" spans="2:16" x14ac:dyDescent="0.25">
      <c r="B4" s="29" t="s">
        <v>15</v>
      </c>
      <c r="C4" s="29" t="s">
        <v>49</v>
      </c>
      <c r="D4" s="26">
        <f>SUM(D5:D7)</f>
        <v>7303</v>
      </c>
      <c r="E4" s="26">
        <f t="shared" ref="E4:P4" si="0">SUM(E5:E7)</f>
        <v>0</v>
      </c>
      <c r="F4" s="26">
        <f t="shared" si="0"/>
        <v>0</v>
      </c>
      <c r="G4" s="26">
        <f t="shared" si="0"/>
        <v>0</v>
      </c>
      <c r="H4" s="26">
        <f t="shared" si="0"/>
        <v>0</v>
      </c>
      <c r="I4" s="26">
        <f t="shared" si="0"/>
        <v>0</v>
      </c>
      <c r="J4" s="26">
        <f t="shared" si="0"/>
        <v>0</v>
      </c>
      <c r="K4" s="26">
        <f t="shared" si="0"/>
        <v>0</v>
      </c>
      <c r="L4" s="26">
        <f t="shared" si="0"/>
        <v>0</v>
      </c>
      <c r="M4" s="26">
        <f t="shared" si="0"/>
        <v>0</v>
      </c>
      <c r="N4" s="26">
        <f t="shared" si="0"/>
        <v>0</v>
      </c>
      <c r="O4" s="26">
        <f t="shared" si="0"/>
        <v>0</v>
      </c>
      <c r="P4" s="27">
        <f t="shared" si="0"/>
        <v>0</v>
      </c>
    </row>
    <row r="5" spans="2:16" x14ac:dyDescent="0.25">
      <c r="B5" s="7" t="s">
        <v>15</v>
      </c>
      <c r="C5" s="7" t="s">
        <v>50</v>
      </c>
      <c r="D5" s="7">
        <v>5580</v>
      </c>
      <c r="E5" s="7"/>
      <c r="F5" s="7"/>
      <c r="G5" s="7"/>
      <c r="H5" s="7"/>
      <c r="I5" s="7"/>
      <c r="J5" s="7"/>
      <c r="K5" s="7"/>
      <c r="L5" s="7"/>
      <c r="M5" s="7"/>
      <c r="N5" s="25"/>
      <c r="O5" s="7"/>
      <c r="P5" s="25"/>
    </row>
    <row r="6" spans="2:16" x14ac:dyDescent="0.25">
      <c r="B6" s="7" t="s">
        <v>15</v>
      </c>
      <c r="C6" s="7" t="s">
        <v>51</v>
      </c>
      <c r="D6" s="7">
        <v>191</v>
      </c>
      <c r="E6" s="7"/>
      <c r="F6" s="7"/>
      <c r="G6" s="7"/>
      <c r="H6" s="7"/>
      <c r="I6" s="7"/>
      <c r="J6" s="7"/>
      <c r="K6" s="7"/>
      <c r="L6" s="7"/>
      <c r="M6" s="7"/>
      <c r="N6" s="25"/>
      <c r="O6" s="7"/>
      <c r="P6" s="25"/>
    </row>
    <row r="7" spans="2:16" x14ac:dyDescent="0.25">
      <c r="B7" s="7" t="s">
        <v>15</v>
      </c>
      <c r="C7" s="7" t="s">
        <v>52</v>
      </c>
      <c r="D7" s="7">
        <v>1532</v>
      </c>
      <c r="E7" s="7"/>
      <c r="F7" s="7"/>
      <c r="G7" s="7"/>
      <c r="H7" s="7"/>
      <c r="I7" s="7"/>
      <c r="J7" s="7"/>
      <c r="K7" s="7"/>
      <c r="L7" s="7"/>
      <c r="M7" s="7"/>
      <c r="N7" s="25"/>
      <c r="O7" s="7"/>
      <c r="P7" s="25"/>
    </row>
    <row r="8" spans="2:16" x14ac:dyDescent="0.25">
      <c r="B8" s="29" t="s">
        <v>16</v>
      </c>
      <c r="C8" s="29" t="s">
        <v>49</v>
      </c>
      <c r="D8" s="26">
        <f>SUM(D9:D12)</f>
        <v>3745</v>
      </c>
      <c r="E8" s="26">
        <f t="shared" ref="E8:O8" si="1">SUM(E9:E12)</f>
        <v>0</v>
      </c>
      <c r="F8" s="26">
        <f t="shared" si="1"/>
        <v>0</v>
      </c>
      <c r="G8" s="26">
        <f t="shared" si="1"/>
        <v>0</v>
      </c>
      <c r="H8" s="26">
        <f t="shared" si="1"/>
        <v>0</v>
      </c>
      <c r="I8" s="26">
        <f t="shared" si="1"/>
        <v>0</v>
      </c>
      <c r="J8" s="26">
        <f t="shared" si="1"/>
        <v>0</v>
      </c>
      <c r="K8" s="26">
        <f t="shared" si="1"/>
        <v>0</v>
      </c>
      <c r="L8" s="26">
        <f t="shared" si="1"/>
        <v>0</v>
      </c>
      <c r="M8" s="26">
        <f t="shared" si="1"/>
        <v>0</v>
      </c>
      <c r="N8" s="26">
        <f t="shared" si="1"/>
        <v>0</v>
      </c>
      <c r="O8" s="26">
        <f t="shared" si="1"/>
        <v>0</v>
      </c>
      <c r="P8" s="27">
        <f>SUM(P9:P12)</f>
        <v>0</v>
      </c>
    </row>
    <row r="9" spans="2:16" x14ac:dyDescent="0.25">
      <c r="B9" s="7" t="s">
        <v>16</v>
      </c>
      <c r="C9" s="7" t="s">
        <v>50</v>
      </c>
      <c r="D9" s="7">
        <v>3258</v>
      </c>
      <c r="E9" s="7"/>
      <c r="F9" s="7"/>
      <c r="G9" s="7"/>
      <c r="H9" s="7"/>
      <c r="I9" s="7"/>
      <c r="J9" s="7"/>
      <c r="K9" s="7"/>
      <c r="L9" s="7"/>
      <c r="M9" s="7"/>
      <c r="N9" s="25"/>
      <c r="O9" s="7"/>
      <c r="P9" s="25"/>
    </row>
    <row r="10" spans="2:16" x14ac:dyDescent="0.25">
      <c r="B10" s="7" t="s">
        <v>16</v>
      </c>
      <c r="C10" s="7" t="s">
        <v>53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25"/>
      <c r="O10" s="25"/>
      <c r="P10" s="25"/>
    </row>
    <row r="11" spans="2:16" x14ac:dyDescent="0.25">
      <c r="B11" s="7" t="s">
        <v>16</v>
      </c>
      <c r="C11" s="7" t="s">
        <v>51</v>
      </c>
      <c r="D11" s="7">
        <v>198</v>
      </c>
      <c r="E11" s="7"/>
      <c r="F11" s="7"/>
      <c r="G11" s="7"/>
      <c r="H11" s="7"/>
      <c r="I11" s="7"/>
      <c r="J11" s="7"/>
      <c r="K11" s="7"/>
      <c r="L11" s="7"/>
      <c r="M11" s="7"/>
      <c r="N11" s="25"/>
      <c r="O11" s="25"/>
      <c r="P11" s="25"/>
    </row>
    <row r="12" spans="2:16" x14ac:dyDescent="0.25">
      <c r="B12" s="7" t="s">
        <v>16</v>
      </c>
      <c r="C12" s="7" t="s">
        <v>52</v>
      </c>
      <c r="D12" s="7">
        <v>289</v>
      </c>
      <c r="E12" s="7"/>
      <c r="F12" s="7"/>
      <c r="G12" s="7"/>
      <c r="H12" s="7"/>
      <c r="I12" s="7"/>
      <c r="J12" s="7"/>
      <c r="K12" s="7"/>
      <c r="L12" s="7"/>
      <c r="M12" s="7"/>
      <c r="N12" s="25"/>
      <c r="O12" s="25"/>
      <c r="P12" s="25"/>
    </row>
    <row r="13" spans="2:16" x14ac:dyDescent="0.25">
      <c r="B13" s="29" t="s">
        <v>17</v>
      </c>
      <c r="C13" s="29" t="s">
        <v>49</v>
      </c>
      <c r="D13" s="27">
        <f>SUM(D14:D18)</f>
        <v>4002</v>
      </c>
      <c r="E13" s="27">
        <f t="shared" ref="E13:N13" si="2">SUM(E14:E17)</f>
        <v>0</v>
      </c>
      <c r="F13" s="27">
        <f t="shared" si="2"/>
        <v>0</v>
      </c>
      <c r="G13" s="27">
        <f t="shared" si="2"/>
        <v>0</v>
      </c>
      <c r="H13" s="27">
        <f t="shared" si="2"/>
        <v>0</v>
      </c>
      <c r="I13" s="27">
        <f t="shared" si="2"/>
        <v>0</v>
      </c>
      <c r="J13" s="27">
        <f t="shared" si="2"/>
        <v>0</v>
      </c>
      <c r="K13" s="27">
        <f t="shared" si="2"/>
        <v>0</v>
      </c>
      <c r="L13" s="27">
        <f t="shared" si="2"/>
        <v>0</v>
      </c>
      <c r="M13" s="27">
        <f t="shared" si="2"/>
        <v>0</v>
      </c>
      <c r="N13" s="27">
        <f t="shared" si="2"/>
        <v>0</v>
      </c>
      <c r="O13" s="27">
        <f>SUM(O14:O17)</f>
        <v>0</v>
      </c>
      <c r="P13" s="27">
        <f>SUM(P14:P17)</f>
        <v>0</v>
      </c>
    </row>
    <row r="14" spans="2:16" x14ac:dyDescent="0.25">
      <c r="B14" s="7" t="s">
        <v>17</v>
      </c>
      <c r="C14" s="7" t="s">
        <v>50</v>
      </c>
      <c r="D14" s="7">
        <v>2544</v>
      </c>
      <c r="E14" s="7"/>
      <c r="F14" s="7"/>
      <c r="G14" s="7"/>
      <c r="H14" s="7"/>
      <c r="I14" s="7"/>
      <c r="J14" s="7"/>
      <c r="K14" s="7"/>
      <c r="L14" s="7"/>
      <c r="M14" s="7"/>
      <c r="N14" s="25"/>
      <c r="O14" s="7"/>
      <c r="P14" s="25"/>
    </row>
    <row r="15" spans="2:16" x14ac:dyDescent="0.25">
      <c r="B15" s="7" t="s">
        <v>17</v>
      </c>
      <c r="C15" s="7" t="s">
        <v>53</v>
      </c>
      <c r="D15" s="7">
        <v>258</v>
      </c>
      <c r="E15" s="7"/>
      <c r="F15" s="7"/>
      <c r="G15" s="7"/>
      <c r="H15" s="7"/>
      <c r="I15" s="7"/>
      <c r="J15" s="7"/>
      <c r="K15" s="7"/>
      <c r="L15" s="7"/>
      <c r="M15" s="7"/>
      <c r="N15" s="25"/>
      <c r="O15" s="7"/>
      <c r="P15" s="25"/>
    </row>
    <row r="16" spans="2:16" x14ac:dyDescent="0.25">
      <c r="B16" s="7" t="s">
        <v>17</v>
      </c>
      <c r="C16" s="7" t="s">
        <v>51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25"/>
      <c r="O16" s="7"/>
      <c r="P16" s="25"/>
    </row>
    <row r="17" spans="2:17" x14ac:dyDescent="0.25">
      <c r="B17" s="7" t="s">
        <v>17</v>
      </c>
      <c r="C17" s="7" t="s">
        <v>54</v>
      </c>
      <c r="D17" s="7">
        <v>49</v>
      </c>
      <c r="E17" s="7"/>
      <c r="F17" s="7"/>
      <c r="G17" s="7"/>
      <c r="H17" s="7"/>
      <c r="I17" s="7"/>
      <c r="J17" s="7"/>
      <c r="K17" s="7"/>
      <c r="L17" s="7"/>
      <c r="M17" s="7"/>
      <c r="N17" s="25"/>
      <c r="O17" s="7"/>
      <c r="P17" s="25"/>
    </row>
    <row r="18" spans="2:17" x14ac:dyDescent="0.25">
      <c r="B18" s="7" t="s">
        <v>17</v>
      </c>
      <c r="C18" s="7" t="s">
        <v>52</v>
      </c>
      <c r="D18" s="7">
        <v>1151</v>
      </c>
      <c r="E18" s="7"/>
      <c r="F18" s="7"/>
      <c r="G18" s="7"/>
      <c r="H18" s="7"/>
      <c r="I18" s="7"/>
      <c r="J18" s="7"/>
      <c r="K18" s="7"/>
      <c r="L18" s="7"/>
      <c r="M18" s="7"/>
      <c r="N18" s="25"/>
      <c r="O18" s="7"/>
      <c r="P18" s="25"/>
    </row>
    <row r="19" spans="2:17" x14ac:dyDescent="0.25">
      <c r="B19" s="29" t="s">
        <v>18</v>
      </c>
      <c r="C19" s="29" t="s">
        <v>49</v>
      </c>
      <c r="D19" s="27">
        <f>SUM(D20:D23)</f>
        <v>28441</v>
      </c>
      <c r="E19" s="27">
        <f t="shared" ref="E19:O19" si="3">SUM(E20:E23)</f>
        <v>0</v>
      </c>
      <c r="F19" s="27">
        <f t="shared" si="3"/>
        <v>0</v>
      </c>
      <c r="G19" s="27">
        <f t="shared" si="3"/>
        <v>0</v>
      </c>
      <c r="H19" s="27">
        <f t="shared" si="3"/>
        <v>0</v>
      </c>
      <c r="I19" s="27">
        <f t="shared" si="3"/>
        <v>0</v>
      </c>
      <c r="J19" s="27">
        <f t="shared" si="3"/>
        <v>0</v>
      </c>
      <c r="K19" s="27">
        <f t="shared" si="3"/>
        <v>0</v>
      </c>
      <c r="L19" s="27">
        <f t="shared" si="3"/>
        <v>0</v>
      </c>
      <c r="M19" s="27">
        <f t="shared" si="3"/>
        <v>0</v>
      </c>
      <c r="N19" s="27">
        <f>SUM(N20:N23)</f>
        <v>0</v>
      </c>
      <c r="O19" s="27">
        <f t="shared" si="3"/>
        <v>0</v>
      </c>
      <c r="P19" s="27">
        <f>SUM(P20:P23)</f>
        <v>0</v>
      </c>
      <c r="Q19" s="31" t="s">
        <v>114</v>
      </c>
    </row>
    <row r="20" spans="2:17" x14ac:dyDescent="0.25">
      <c r="B20" s="7" t="s">
        <v>18</v>
      </c>
      <c r="C20" s="7" t="s">
        <v>50</v>
      </c>
      <c r="D20" s="7">
        <v>28051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25"/>
    </row>
    <row r="21" spans="2:17" x14ac:dyDescent="0.25">
      <c r="B21" s="7" t="s">
        <v>18</v>
      </c>
      <c r="C21" s="7" t="s">
        <v>53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25"/>
    </row>
    <row r="22" spans="2:17" x14ac:dyDescent="0.25">
      <c r="B22" s="7" t="s">
        <v>18</v>
      </c>
      <c r="C22" s="7" t="s">
        <v>51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25"/>
    </row>
    <row r="23" spans="2:17" x14ac:dyDescent="0.25">
      <c r="B23" s="7" t="s">
        <v>18</v>
      </c>
      <c r="C23" s="7" t="s">
        <v>52</v>
      </c>
      <c r="D23" s="7">
        <v>390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25"/>
    </row>
    <row r="24" spans="2:17" x14ac:dyDescent="0.25">
      <c r="B24" s="29" t="s">
        <v>19</v>
      </c>
      <c r="C24" s="29" t="s">
        <v>49</v>
      </c>
      <c r="D24" s="27">
        <f>SUM(D25:D27)</f>
        <v>6405</v>
      </c>
      <c r="E24" s="27">
        <f t="shared" ref="E24:O24" si="4">SUM(E25:E27)</f>
        <v>0</v>
      </c>
      <c r="F24" s="27">
        <f t="shared" si="4"/>
        <v>0</v>
      </c>
      <c r="G24" s="27">
        <f t="shared" si="4"/>
        <v>0</v>
      </c>
      <c r="H24" s="27">
        <f t="shared" si="4"/>
        <v>0</v>
      </c>
      <c r="I24" s="27">
        <f t="shared" si="4"/>
        <v>0</v>
      </c>
      <c r="J24" s="27">
        <f t="shared" si="4"/>
        <v>0</v>
      </c>
      <c r="K24" s="27">
        <f t="shared" si="4"/>
        <v>0</v>
      </c>
      <c r="L24" s="27">
        <f t="shared" si="4"/>
        <v>0</v>
      </c>
      <c r="M24" s="27">
        <f t="shared" si="4"/>
        <v>0</v>
      </c>
      <c r="N24" s="27">
        <f t="shared" si="4"/>
        <v>0</v>
      </c>
      <c r="O24" s="27">
        <f t="shared" si="4"/>
        <v>0</v>
      </c>
      <c r="P24" s="27">
        <f>SUM(P25:P27)</f>
        <v>0</v>
      </c>
    </row>
    <row r="25" spans="2:17" x14ac:dyDescent="0.25">
      <c r="B25" s="7" t="s">
        <v>19</v>
      </c>
      <c r="C25" s="7" t="s">
        <v>50</v>
      </c>
      <c r="D25" s="7">
        <v>5165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25"/>
    </row>
    <row r="26" spans="2:17" x14ac:dyDescent="0.25">
      <c r="B26" s="7" t="s">
        <v>19</v>
      </c>
      <c r="C26" s="7" t="s">
        <v>51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25"/>
    </row>
    <row r="27" spans="2:17" x14ac:dyDescent="0.25">
      <c r="B27" s="7" t="s">
        <v>19</v>
      </c>
      <c r="C27" s="7" t="s">
        <v>52</v>
      </c>
      <c r="D27" s="7">
        <v>1240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25"/>
    </row>
    <row r="28" spans="2:17" x14ac:dyDescent="0.25">
      <c r="B28" s="29" t="s">
        <v>20</v>
      </c>
      <c r="C28" s="29" t="s">
        <v>49</v>
      </c>
      <c r="D28" s="27">
        <f>SUM(D29:D32)</f>
        <v>4633</v>
      </c>
      <c r="E28" s="27">
        <f t="shared" ref="E28:O28" si="5">SUM(E29:E32)</f>
        <v>0</v>
      </c>
      <c r="F28" s="27">
        <f t="shared" si="5"/>
        <v>0</v>
      </c>
      <c r="G28" s="27">
        <f t="shared" si="5"/>
        <v>0</v>
      </c>
      <c r="H28" s="27">
        <f t="shared" si="5"/>
        <v>0</v>
      </c>
      <c r="I28" s="27">
        <f t="shared" si="5"/>
        <v>0</v>
      </c>
      <c r="J28" s="27">
        <f t="shared" si="5"/>
        <v>0</v>
      </c>
      <c r="K28" s="27">
        <f t="shared" si="5"/>
        <v>0</v>
      </c>
      <c r="L28" s="27">
        <f t="shared" si="5"/>
        <v>0</v>
      </c>
      <c r="M28" s="27">
        <f>SUM(M29:M32)</f>
        <v>0</v>
      </c>
      <c r="N28" s="27">
        <f t="shared" si="5"/>
        <v>0</v>
      </c>
      <c r="O28" s="27">
        <f t="shared" si="5"/>
        <v>0</v>
      </c>
      <c r="P28" s="27">
        <f>SUM(P29:P32)</f>
        <v>0</v>
      </c>
    </row>
    <row r="29" spans="2:17" x14ac:dyDescent="0.25">
      <c r="B29" s="7" t="s">
        <v>20</v>
      </c>
      <c r="C29" s="7" t="s">
        <v>50</v>
      </c>
      <c r="D29" s="7">
        <v>2813</v>
      </c>
      <c r="E29" s="7"/>
      <c r="F29" s="7"/>
      <c r="G29" s="7"/>
      <c r="H29" s="7"/>
      <c r="I29" s="7"/>
      <c r="J29" s="7"/>
      <c r="K29" s="7"/>
      <c r="L29" s="7"/>
      <c r="M29" s="7"/>
      <c r="N29" s="25"/>
      <c r="O29" s="7"/>
      <c r="P29" s="25"/>
    </row>
    <row r="30" spans="2:17" x14ac:dyDescent="0.25">
      <c r="B30" s="7" t="s">
        <v>20</v>
      </c>
      <c r="C30" s="7" t="s">
        <v>51</v>
      </c>
      <c r="D30" s="7">
        <v>1213</v>
      </c>
      <c r="E30" s="7"/>
      <c r="F30" s="7"/>
      <c r="G30" s="7"/>
      <c r="H30" s="7"/>
      <c r="I30" s="7"/>
      <c r="J30" s="7"/>
      <c r="K30" s="7"/>
      <c r="L30" s="7"/>
      <c r="M30" s="7"/>
      <c r="N30" s="25"/>
      <c r="O30" s="7"/>
      <c r="P30" s="25"/>
    </row>
    <row r="31" spans="2:17" x14ac:dyDescent="0.25">
      <c r="B31" s="7" t="s">
        <v>20</v>
      </c>
      <c r="C31" s="7" t="s">
        <v>54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25"/>
      <c r="P31" s="25"/>
    </row>
    <row r="32" spans="2:17" x14ac:dyDescent="0.25">
      <c r="B32" s="7" t="s">
        <v>20</v>
      </c>
      <c r="C32" s="7" t="s">
        <v>52</v>
      </c>
      <c r="D32" s="7">
        <v>607</v>
      </c>
      <c r="E32" s="7"/>
      <c r="F32" s="7"/>
      <c r="G32" s="7"/>
      <c r="H32" s="7"/>
      <c r="I32" s="7"/>
      <c r="J32" s="7"/>
      <c r="K32" s="7"/>
      <c r="L32" s="7"/>
      <c r="M32" s="7"/>
      <c r="N32" s="25"/>
      <c r="O32" s="7"/>
      <c r="P32" s="25"/>
    </row>
    <row r="33" spans="2:16" x14ac:dyDescent="0.25">
      <c r="B33" s="29" t="s">
        <v>21</v>
      </c>
      <c r="C33" s="29" t="s">
        <v>49</v>
      </c>
      <c r="D33" s="27">
        <f>SUM(D34:D37)</f>
        <v>1850</v>
      </c>
      <c r="E33" s="27">
        <f t="shared" ref="E33:O33" si="6">SUM(E34:E37)</f>
        <v>0</v>
      </c>
      <c r="F33" s="27">
        <f t="shared" si="6"/>
        <v>0</v>
      </c>
      <c r="G33" s="27">
        <f t="shared" si="6"/>
        <v>0</v>
      </c>
      <c r="H33" s="27">
        <f t="shared" si="6"/>
        <v>0</v>
      </c>
      <c r="I33" s="27">
        <f t="shared" si="6"/>
        <v>0</v>
      </c>
      <c r="J33" s="27">
        <f t="shared" si="6"/>
        <v>0</v>
      </c>
      <c r="K33" s="27">
        <f t="shared" si="6"/>
        <v>0</v>
      </c>
      <c r="L33" s="27">
        <f t="shared" si="6"/>
        <v>0</v>
      </c>
      <c r="M33" s="27">
        <f t="shared" si="6"/>
        <v>0</v>
      </c>
      <c r="N33" s="27">
        <f t="shared" si="6"/>
        <v>0</v>
      </c>
      <c r="O33" s="27">
        <f t="shared" si="6"/>
        <v>0</v>
      </c>
      <c r="P33" s="27">
        <f t="shared" ref="P33" si="7">SUM(P34:P37)</f>
        <v>0</v>
      </c>
    </row>
    <row r="34" spans="2:16" x14ac:dyDescent="0.25">
      <c r="B34" s="7" t="s">
        <v>21</v>
      </c>
      <c r="C34" s="7" t="s">
        <v>50</v>
      </c>
      <c r="D34" s="7">
        <v>518</v>
      </c>
      <c r="E34" s="7"/>
      <c r="F34" s="7"/>
      <c r="G34" s="7"/>
      <c r="H34" s="7"/>
      <c r="I34" s="7"/>
      <c r="J34" s="7"/>
      <c r="K34" s="7"/>
      <c r="L34" s="7"/>
      <c r="M34" s="7"/>
      <c r="N34" s="25"/>
      <c r="O34" s="7"/>
      <c r="P34" s="25"/>
    </row>
    <row r="35" spans="2:16" x14ac:dyDescent="0.25">
      <c r="B35" s="7" t="s">
        <v>21</v>
      </c>
      <c r="C35" s="7" t="s">
        <v>53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25"/>
      <c r="O35" s="7"/>
      <c r="P35" s="25"/>
    </row>
    <row r="36" spans="2:16" x14ac:dyDescent="0.25">
      <c r="B36" s="7" t="s">
        <v>21</v>
      </c>
      <c r="C36" s="7" t="s">
        <v>51</v>
      </c>
      <c r="D36" s="7">
        <v>174</v>
      </c>
      <c r="E36" s="7"/>
      <c r="F36" s="7"/>
      <c r="G36" s="7"/>
      <c r="H36" s="7"/>
      <c r="I36" s="7"/>
      <c r="J36" s="7"/>
      <c r="K36" s="7"/>
      <c r="L36" s="7"/>
      <c r="M36" s="7"/>
      <c r="N36" s="25"/>
      <c r="O36" s="7"/>
      <c r="P36" s="25"/>
    </row>
    <row r="37" spans="2:16" x14ac:dyDescent="0.25">
      <c r="B37" s="7" t="s">
        <v>21</v>
      </c>
      <c r="C37" s="7" t="s">
        <v>52</v>
      </c>
      <c r="D37" s="7">
        <v>1158</v>
      </c>
      <c r="E37" s="7"/>
      <c r="F37" s="7"/>
      <c r="G37" s="7"/>
      <c r="H37" s="7"/>
      <c r="I37" s="7"/>
      <c r="J37" s="7"/>
      <c r="K37" s="7"/>
      <c r="L37" s="7"/>
      <c r="M37" s="7"/>
      <c r="N37" s="25"/>
      <c r="O37" s="7"/>
      <c r="P37" s="25"/>
    </row>
    <row r="38" spans="2:16" x14ac:dyDescent="0.25">
      <c r="B38" s="29" t="s">
        <v>22</v>
      </c>
      <c r="C38" s="29" t="s">
        <v>49</v>
      </c>
      <c r="D38" s="27">
        <f>SUM(D39:D41)</f>
        <v>8825.7000000000007</v>
      </c>
      <c r="E38" s="27">
        <f t="shared" ref="E38:O38" si="8">SUM(E39:E41)</f>
        <v>0</v>
      </c>
      <c r="F38" s="27">
        <f t="shared" si="8"/>
        <v>0</v>
      </c>
      <c r="G38" s="27">
        <f t="shared" si="8"/>
        <v>0</v>
      </c>
      <c r="H38" s="27">
        <f t="shared" si="8"/>
        <v>0</v>
      </c>
      <c r="I38" s="27">
        <f t="shared" si="8"/>
        <v>0</v>
      </c>
      <c r="J38" s="27">
        <f t="shared" si="8"/>
        <v>0</v>
      </c>
      <c r="K38" s="27">
        <f t="shared" si="8"/>
        <v>0</v>
      </c>
      <c r="L38" s="27">
        <f t="shared" si="8"/>
        <v>0</v>
      </c>
      <c r="M38" s="27">
        <f t="shared" si="8"/>
        <v>0</v>
      </c>
      <c r="N38" s="27">
        <f t="shared" si="8"/>
        <v>0</v>
      </c>
      <c r="O38" s="27">
        <f t="shared" si="8"/>
        <v>0</v>
      </c>
      <c r="P38" s="27">
        <f>SUM(P39:P41)</f>
        <v>0</v>
      </c>
    </row>
    <row r="39" spans="2:16" x14ac:dyDescent="0.25">
      <c r="B39" s="7" t="s">
        <v>22</v>
      </c>
      <c r="C39" s="7" t="s">
        <v>50</v>
      </c>
      <c r="D39" s="7">
        <v>5000</v>
      </c>
      <c r="E39" s="7"/>
      <c r="F39" s="7"/>
      <c r="G39" s="7"/>
      <c r="H39" s="7"/>
      <c r="I39" s="7"/>
      <c r="J39" s="7"/>
      <c r="K39" s="7"/>
      <c r="L39" s="7"/>
      <c r="M39" s="7"/>
      <c r="N39" s="25"/>
      <c r="O39" s="7"/>
      <c r="P39" s="25"/>
    </row>
    <row r="40" spans="2:16" x14ac:dyDescent="0.25">
      <c r="B40" s="7" t="s">
        <v>22</v>
      </c>
      <c r="C40" s="7" t="s">
        <v>51</v>
      </c>
      <c r="D40" s="7">
        <v>871</v>
      </c>
      <c r="E40" s="7"/>
      <c r="F40" s="7"/>
      <c r="G40" s="7"/>
      <c r="H40" s="7"/>
      <c r="I40" s="7"/>
      <c r="J40" s="7"/>
      <c r="K40" s="7"/>
      <c r="L40" s="7"/>
      <c r="M40" s="7"/>
      <c r="N40" s="25"/>
      <c r="O40" s="7"/>
      <c r="P40" s="25"/>
    </row>
    <row r="41" spans="2:16" x14ac:dyDescent="0.25">
      <c r="B41" s="7" t="s">
        <v>22</v>
      </c>
      <c r="C41" s="7" t="s">
        <v>52</v>
      </c>
      <c r="D41" s="7">
        <v>2954.7</v>
      </c>
      <c r="E41" s="7"/>
      <c r="F41" s="7"/>
      <c r="G41" s="7"/>
      <c r="H41" s="7"/>
      <c r="I41" s="7"/>
      <c r="J41" s="7"/>
      <c r="K41" s="7"/>
      <c r="L41" s="7"/>
      <c r="M41" s="7"/>
      <c r="N41" s="25"/>
      <c r="O41" s="7"/>
      <c r="P41" s="25"/>
    </row>
    <row r="42" spans="2:16" x14ac:dyDescent="0.25">
      <c r="B42" s="29" t="s">
        <v>23</v>
      </c>
      <c r="C42" s="29" t="s">
        <v>49</v>
      </c>
      <c r="D42" s="27">
        <f>SUM(D43:D46)</f>
        <v>5908</v>
      </c>
      <c r="E42" s="27">
        <f t="shared" ref="E42:O42" si="9">SUM(E43:E46)</f>
        <v>0</v>
      </c>
      <c r="F42" s="27">
        <f t="shared" si="9"/>
        <v>0</v>
      </c>
      <c r="G42" s="27">
        <f t="shared" si="9"/>
        <v>0</v>
      </c>
      <c r="H42" s="27">
        <f t="shared" si="9"/>
        <v>0</v>
      </c>
      <c r="I42" s="27">
        <f t="shared" si="9"/>
        <v>0</v>
      </c>
      <c r="J42" s="27">
        <f t="shared" si="9"/>
        <v>0</v>
      </c>
      <c r="K42" s="27">
        <f t="shared" si="9"/>
        <v>0</v>
      </c>
      <c r="L42" s="27">
        <f t="shared" si="9"/>
        <v>0</v>
      </c>
      <c r="M42" s="27">
        <f t="shared" si="9"/>
        <v>0</v>
      </c>
      <c r="N42" s="27">
        <f t="shared" si="9"/>
        <v>0</v>
      </c>
      <c r="O42" s="27">
        <f t="shared" si="9"/>
        <v>0</v>
      </c>
      <c r="P42" s="27">
        <f>SUM(P43:P46)</f>
        <v>0</v>
      </c>
    </row>
    <row r="43" spans="2:16" x14ac:dyDescent="0.25">
      <c r="B43" s="7" t="s">
        <v>23</v>
      </c>
      <c r="C43" s="7" t="s">
        <v>50</v>
      </c>
      <c r="D43" s="7">
        <v>5458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25"/>
    </row>
    <row r="44" spans="2:16" x14ac:dyDescent="0.25">
      <c r="B44" s="7" t="s">
        <v>23</v>
      </c>
      <c r="C44" s="7" t="s">
        <v>51</v>
      </c>
      <c r="D44" s="7">
        <v>3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25"/>
    </row>
    <row r="45" spans="2:16" x14ac:dyDescent="0.25">
      <c r="B45" s="7" t="s">
        <v>23</v>
      </c>
      <c r="C45" s="7" t="s">
        <v>54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25"/>
    </row>
    <row r="46" spans="2:16" x14ac:dyDescent="0.25">
      <c r="B46" s="7" t="s">
        <v>23</v>
      </c>
      <c r="C46" s="7" t="s">
        <v>52</v>
      </c>
      <c r="D46" s="7">
        <v>447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25"/>
    </row>
    <row r="47" spans="2:16" x14ac:dyDescent="0.25">
      <c r="B47" s="29" t="s">
        <v>24</v>
      </c>
      <c r="C47" s="29" t="s">
        <v>49</v>
      </c>
      <c r="D47" s="27">
        <f>SUM(D48:D50)</f>
        <v>1229</v>
      </c>
      <c r="E47" s="27">
        <f t="shared" ref="E47:O47" si="10">SUM(E48:E50)</f>
        <v>0</v>
      </c>
      <c r="F47" s="27">
        <f t="shared" si="10"/>
        <v>0</v>
      </c>
      <c r="G47" s="27">
        <f t="shared" si="10"/>
        <v>0</v>
      </c>
      <c r="H47" s="27">
        <f t="shared" si="10"/>
        <v>0</v>
      </c>
      <c r="I47" s="27">
        <f t="shared" si="10"/>
        <v>0</v>
      </c>
      <c r="J47" s="27">
        <f t="shared" si="10"/>
        <v>0</v>
      </c>
      <c r="K47" s="27">
        <f t="shared" si="10"/>
        <v>0</v>
      </c>
      <c r="L47" s="27">
        <f t="shared" si="10"/>
        <v>0</v>
      </c>
      <c r="M47" s="27">
        <f>SUM(M48:M50)</f>
        <v>0</v>
      </c>
      <c r="N47" s="27">
        <f t="shared" si="10"/>
        <v>0</v>
      </c>
      <c r="O47" s="27">
        <f t="shared" si="10"/>
        <v>0</v>
      </c>
      <c r="P47" s="27">
        <f t="shared" ref="P47" si="11">SUM(P48:P50)</f>
        <v>0</v>
      </c>
    </row>
    <row r="48" spans="2:16" x14ac:dyDescent="0.25">
      <c r="B48" s="7" t="s">
        <v>24</v>
      </c>
      <c r="C48" s="7" t="s">
        <v>50</v>
      </c>
      <c r="D48" s="7">
        <v>899</v>
      </c>
      <c r="E48" s="7"/>
      <c r="F48" s="7"/>
      <c r="G48" s="7"/>
      <c r="H48" s="7"/>
      <c r="I48" s="7"/>
      <c r="J48" s="7"/>
      <c r="K48" s="7"/>
      <c r="L48" s="7"/>
      <c r="M48" s="7"/>
      <c r="N48" s="25"/>
      <c r="O48" s="7"/>
      <c r="P48" s="25"/>
    </row>
    <row r="49" spans="2:16" x14ac:dyDescent="0.25">
      <c r="B49" s="7" t="s">
        <v>24</v>
      </c>
      <c r="C49" s="7" t="s">
        <v>51</v>
      </c>
      <c r="D49" s="7">
        <v>10</v>
      </c>
      <c r="E49" s="7"/>
      <c r="F49" s="7"/>
      <c r="G49" s="7"/>
      <c r="H49" s="7"/>
      <c r="I49" s="7"/>
      <c r="J49" s="7"/>
      <c r="K49" s="7"/>
      <c r="L49" s="7"/>
      <c r="M49" s="7"/>
      <c r="N49" s="25"/>
      <c r="O49" s="7"/>
      <c r="P49" s="25"/>
    </row>
    <row r="50" spans="2:16" x14ac:dyDescent="0.25">
      <c r="B50" s="7" t="s">
        <v>24</v>
      </c>
      <c r="C50" s="7" t="s">
        <v>52</v>
      </c>
      <c r="D50" s="7">
        <v>320</v>
      </c>
      <c r="E50" s="7"/>
      <c r="F50" s="7"/>
      <c r="G50" s="7"/>
      <c r="H50" s="7"/>
      <c r="I50" s="7"/>
      <c r="J50" s="7"/>
      <c r="K50" s="7"/>
      <c r="L50" s="7"/>
      <c r="M50" s="7"/>
      <c r="N50" s="25"/>
      <c r="O50" s="7"/>
      <c r="P50" s="25"/>
    </row>
    <row r="51" spans="2:16" x14ac:dyDescent="0.25">
      <c r="B51" s="29" t="s">
        <v>25</v>
      </c>
      <c r="C51" s="29" t="s">
        <v>49</v>
      </c>
      <c r="D51" s="27">
        <f t="shared" ref="D51:P51" si="12">SUM(D52:D56)</f>
        <v>5062</v>
      </c>
      <c r="E51" s="27">
        <f t="shared" si="12"/>
        <v>0</v>
      </c>
      <c r="F51" s="27">
        <f t="shared" si="12"/>
        <v>0</v>
      </c>
      <c r="G51" s="27">
        <f t="shared" si="12"/>
        <v>0</v>
      </c>
      <c r="H51" s="27">
        <f t="shared" si="12"/>
        <v>0</v>
      </c>
      <c r="I51" s="27">
        <f t="shared" si="12"/>
        <v>0</v>
      </c>
      <c r="J51" s="27">
        <f t="shared" si="12"/>
        <v>0</v>
      </c>
      <c r="K51" s="27">
        <f t="shared" si="12"/>
        <v>0</v>
      </c>
      <c r="L51" s="27">
        <f t="shared" si="12"/>
        <v>0</v>
      </c>
      <c r="M51" s="27">
        <f t="shared" si="12"/>
        <v>0</v>
      </c>
      <c r="N51" s="27">
        <f t="shared" si="12"/>
        <v>0</v>
      </c>
      <c r="O51" s="27">
        <f t="shared" si="12"/>
        <v>0</v>
      </c>
      <c r="P51" s="27">
        <f t="shared" si="12"/>
        <v>0</v>
      </c>
    </row>
    <row r="52" spans="2:16" x14ac:dyDescent="0.25">
      <c r="B52" s="7" t="s">
        <v>25</v>
      </c>
      <c r="C52" s="7" t="s">
        <v>50</v>
      </c>
      <c r="D52" s="7">
        <v>4182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25"/>
    </row>
    <row r="53" spans="2:16" x14ac:dyDescent="0.25">
      <c r="B53" s="7" t="s">
        <v>25</v>
      </c>
      <c r="C53" s="7" t="s">
        <v>53</v>
      </c>
      <c r="D53" s="7"/>
      <c r="E53" s="7"/>
      <c r="F53" s="7"/>
      <c r="G53" s="7"/>
      <c r="H53" s="7"/>
      <c r="I53" s="7"/>
      <c r="J53" s="7"/>
      <c r="K53" s="7"/>
      <c r="L53" s="7"/>
      <c r="M53" s="25"/>
      <c r="N53" s="25"/>
      <c r="O53" s="25"/>
      <c r="P53" s="25"/>
    </row>
    <row r="54" spans="2:16" x14ac:dyDescent="0.25">
      <c r="B54" s="7" t="s">
        <v>25</v>
      </c>
      <c r="C54" s="7" t="s">
        <v>51</v>
      </c>
      <c r="D54" s="7">
        <v>505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25"/>
    </row>
    <row r="55" spans="2:16" x14ac:dyDescent="0.25">
      <c r="B55" s="7" t="s">
        <v>25</v>
      </c>
      <c r="C55" s="7" t="s">
        <v>54</v>
      </c>
      <c r="D55" s="7"/>
      <c r="E55" s="7"/>
      <c r="F55" s="7"/>
      <c r="G55" s="7"/>
      <c r="H55" s="7"/>
      <c r="I55" s="7"/>
      <c r="J55" s="7"/>
      <c r="K55" s="7"/>
      <c r="L55" s="7"/>
      <c r="M55" s="25"/>
      <c r="N55" s="25"/>
      <c r="O55" s="25"/>
      <c r="P55" s="25"/>
    </row>
    <row r="56" spans="2:16" x14ac:dyDescent="0.25">
      <c r="B56" s="7" t="s">
        <v>25</v>
      </c>
      <c r="C56" s="7" t="s">
        <v>52</v>
      </c>
      <c r="D56" s="7">
        <v>375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25"/>
    </row>
    <row r="57" spans="2:16" x14ac:dyDescent="0.25">
      <c r="B57" s="29" t="s">
        <v>26</v>
      </c>
      <c r="C57" s="29" t="s">
        <v>49</v>
      </c>
      <c r="D57" s="27">
        <f>SUM(D58:D60)</f>
        <v>13834</v>
      </c>
      <c r="E57" s="27">
        <f t="shared" ref="E57:O57" si="13">SUM(E58:E60)</f>
        <v>0</v>
      </c>
      <c r="F57" s="27">
        <f t="shared" si="13"/>
        <v>0</v>
      </c>
      <c r="G57" s="27">
        <f t="shared" si="13"/>
        <v>0</v>
      </c>
      <c r="H57" s="27">
        <f t="shared" si="13"/>
        <v>0</v>
      </c>
      <c r="I57" s="27">
        <f t="shared" si="13"/>
        <v>0</v>
      </c>
      <c r="J57" s="27">
        <f t="shared" si="13"/>
        <v>0</v>
      </c>
      <c r="K57" s="27">
        <f t="shared" si="13"/>
        <v>0</v>
      </c>
      <c r="L57" s="27">
        <f t="shared" si="13"/>
        <v>0</v>
      </c>
      <c r="M57" s="27">
        <f t="shared" si="13"/>
        <v>0</v>
      </c>
      <c r="N57" s="27">
        <f t="shared" si="13"/>
        <v>0</v>
      </c>
      <c r="O57" s="27">
        <f t="shared" si="13"/>
        <v>0</v>
      </c>
      <c r="P57" s="27">
        <f t="shared" ref="P57" si="14">SUM(P58:P60)</f>
        <v>0</v>
      </c>
    </row>
    <row r="58" spans="2:16" x14ac:dyDescent="0.25">
      <c r="B58" s="7" t="s">
        <v>26</v>
      </c>
      <c r="C58" s="7" t="s">
        <v>50</v>
      </c>
      <c r="D58" s="28">
        <v>13243</v>
      </c>
      <c r="E58" s="28"/>
      <c r="F58" s="28"/>
      <c r="G58" s="28"/>
      <c r="H58" s="28"/>
      <c r="I58" s="28"/>
      <c r="J58" s="25"/>
      <c r="K58" s="25"/>
      <c r="L58" s="25"/>
      <c r="M58" s="7"/>
      <c r="N58" s="25"/>
      <c r="O58" s="7"/>
      <c r="P58" s="25"/>
    </row>
    <row r="59" spans="2:16" x14ac:dyDescent="0.25">
      <c r="B59" s="7" t="s">
        <v>26</v>
      </c>
      <c r="C59" s="7" t="s">
        <v>51</v>
      </c>
      <c r="D59" s="28">
        <v>70</v>
      </c>
      <c r="E59" s="28"/>
      <c r="F59" s="28"/>
      <c r="G59" s="28"/>
      <c r="H59" s="28"/>
      <c r="I59" s="28"/>
      <c r="J59" s="25"/>
      <c r="K59" s="25"/>
      <c r="L59" s="25"/>
      <c r="M59" s="7"/>
      <c r="N59" s="25"/>
      <c r="O59" s="7"/>
      <c r="P59" s="25"/>
    </row>
    <row r="60" spans="2:16" x14ac:dyDescent="0.25">
      <c r="B60" s="7" t="s">
        <v>26</v>
      </c>
      <c r="C60" s="7" t="s">
        <v>52</v>
      </c>
      <c r="D60" s="28">
        <v>521</v>
      </c>
      <c r="E60" s="28"/>
      <c r="F60" s="28"/>
      <c r="G60" s="28"/>
      <c r="H60" s="28"/>
      <c r="I60" s="28"/>
      <c r="J60" s="25"/>
      <c r="K60" s="25"/>
      <c r="L60" s="25"/>
      <c r="M60" s="7"/>
      <c r="N60" s="25"/>
      <c r="O60" s="7"/>
      <c r="P60" s="25"/>
    </row>
    <row r="61" spans="2:16" x14ac:dyDescent="0.25">
      <c r="B61" s="29" t="s">
        <v>27</v>
      </c>
      <c r="C61" s="29" t="s">
        <v>49</v>
      </c>
      <c r="D61" s="27">
        <f>SUM(D62:D64)</f>
        <v>12444</v>
      </c>
      <c r="E61" s="27">
        <f t="shared" ref="E61:O61" si="15">SUM(E62:E64)</f>
        <v>0</v>
      </c>
      <c r="F61" s="27">
        <f t="shared" si="15"/>
        <v>0</v>
      </c>
      <c r="G61" s="27">
        <f t="shared" si="15"/>
        <v>0</v>
      </c>
      <c r="H61" s="27">
        <f t="shared" si="15"/>
        <v>0</v>
      </c>
      <c r="I61" s="27">
        <f t="shared" si="15"/>
        <v>0</v>
      </c>
      <c r="J61" s="27">
        <f t="shared" si="15"/>
        <v>0</v>
      </c>
      <c r="K61" s="27">
        <f t="shared" si="15"/>
        <v>0</v>
      </c>
      <c r="L61" s="27">
        <f t="shared" si="15"/>
        <v>0</v>
      </c>
      <c r="M61" s="27">
        <f t="shared" si="15"/>
        <v>0</v>
      </c>
      <c r="N61" s="27">
        <f t="shared" si="15"/>
        <v>0</v>
      </c>
      <c r="O61" s="27">
        <f t="shared" si="15"/>
        <v>0</v>
      </c>
      <c r="P61" s="27">
        <f t="shared" ref="P61" si="16">SUM(P62:P64)</f>
        <v>0</v>
      </c>
    </row>
    <row r="62" spans="2:16" x14ac:dyDescent="0.25">
      <c r="B62" s="7" t="s">
        <v>27</v>
      </c>
      <c r="C62" s="7" t="s">
        <v>50</v>
      </c>
      <c r="D62" s="28">
        <v>9830</v>
      </c>
      <c r="E62" s="28"/>
      <c r="F62" s="28"/>
      <c r="G62" s="28"/>
      <c r="H62" s="28"/>
      <c r="I62" s="28"/>
      <c r="J62" s="25"/>
      <c r="K62" s="25"/>
      <c r="L62" s="25"/>
      <c r="M62" s="7"/>
      <c r="N62" s="25"/>
      <c r="O62" s="7"/>
      <c r="P62" s="25"/>
    </row>
    <row r="63" spans="2:16" x14ac:dyDescent="0.25">
      <c r="B63" s="7" t="s">
        <v>27</v>
      </c>
      <c r="C63" s="7" t="s">
        <v>51</v>
      </c>
      <c r="D63" s="28">
        <v>656</v>
      </c>
      <c r="E63" s="28"/>
      <c r="F63" s="28"/>
      <c r="G63" s="28"/>
      <c r="H63" s="28"/>
      <c r="I63" s="28"/>
      <c r="J63" s="25"/>
      <c r="K63" s="25"/>
      <c r="L63" s="25"/>
      <c r="M63" s="7"/>
      <c r="N63" s="25"/>
      <c r="O63" s="7"/>
      <c r="P63" s="25"/>
    </row>
    <row r="64" spans="2:16" x14ac:dyDescent="0.25">
      <c r="B64" s="7" t="s">
        <v>27</v>
      </c>
      <c r="C64" s="7" t="s">
        <v>52</v>
      </c>
      <c r="D64" s="28">
        <v>1958</v>
      </c>
      <c r="E64" s="28"/>
      <c r="F64" s="28"/>
      <c r="G64" s="28"/>
      <c r="H64" s="28"/>
      <c r="I64" s="28"/>
      <c r="J64" s="25"/>
      <c r="K64" s="25"/>
      <c r="L64" s="25"/>
      <c r="M64" s="7"/>
      <c r="N64" s="25"/>
      <c r="O64" s="7"/>
      <c r="P64" s="25"/>
    </row>
    <row r="65" spans="2:16" x14ac:dyDescent="0.25">
      <c r="B65" s="29" t="s">
        <v>28</v>
      </c>
      <c r="C65" s="29" t="s">
        <v>49</v>
      </c>
      <c r="D65" s="27">
        <f>SUM(D66:D68)</f>
        <v>10740</v>
      </c>
      <c r="E65" s="27">
        <f t="shared" ref="E65:O65" si="17">SUM(E66:E68)</f>
        <v>0</v>
      </c>
      <c r="F65" s="27">
        <f t="shared" si="17"/>
        <v>0</v>
      </c>
      <c r="G65" s="27">
        <f t="shared" si="17"/>
        <v>0</v>
      </c>
      <c r="H65" s="27">
        <f t="shared" si="17"/>
        <v>0</v>
      </c>
      <c r="I65" s="27">
        <f t="shared" si="17"/>
        <v>0</v>
      </c>
      <c r="J65" s="27">
        <f t="shared" si="17"/>
        <v>0</v>
      </c>
      <c r="K65" s="27">
        <f t="shared" si="17"/>
        <v>0</v>
      </c>
      <c r="L65" s="27">
        <f t="shared" si="17"/>
        <v>0</v>
      </c>
      <c r="M65" s="27">
        <f t="shared" si="17"/>
        <v>0</v>
      </c>
      <c r="N65" s="27">
        <f t="shared" si="17"/>
        <v>0</v>
      </c>
      <c r="O65" s="27">
        <f t="shared" si="17"/>
        <v>0</v>
      </c>
      <c r="P65" s="27">
        <f t="shared" ref="P65" si="18">SUM(P66:P68)</f>
        <v>0</v>
      </c>
    </row>
    <row r="66" spans="2:16" x14ac:dyDescent="0.25">
      <c r="B66" s="7" t="s">
        <v>28</v>
      </c>
      <c r="C66" s="7" t="s">
        <v>50</v>
      </c>
      <c r="D66" s="28">
        <v>9469</v>
      </c>
      <c r="E66" s="28"/>
      <c r="F66" s="28"/>
      <c r="G66" s="28"/>
      <c r="H66" s="28"/>
      <c r="I66" s="28"/>
      <c r="J66" s="25"/>
      <c r="K66" s="25"/>
      <c r="L66" s="25"/>
      <c r="M66" s="7"/>
      <c r="N66" s="25"/>
      <c r="O66" s="7"/>
      <c r="P66" s="25"/>
    </row>
    <row r="67" spans="2:16" x14ac:dyDescent="0.25">
      <c r="B67" s="7" t="s">
        <v>28</v>
      </c>
      <c r="C67" s="7" t="s">
        <v>51</v>
      </c>
      <c r="D67" s="28">
        <v>26</v>
      </c>
      <c r="E67" s="28"/>
      <c r="F67" s="28"/>
      <c r="G67" s="28"/>
      <c r="H67" s="28"/>
      <c r="I67" s="28"/>
      <c r="J67" s="25"/>
      <c r="K67" s="25"/>
      <c r="L67" s="25"/>
      <c r="M67" s="7"/>
      <c r="N67" s="25"/>
      <c r="O67" s="7"/>
      <c r="P67" s="25"/>
    </row>
    <row r="68" spans="2:16" x14ac:dyDescent="0.25">
      <c r="B68" s="7" t="s">
        <v>28</v>
      </c>
      <c r="C68" s="7" t="s">
        <v>52</v>
      </c>
      <c r="D68" s="28">
        <v>1245</v>
      </c>
      <c r="E68" s="28"/>
      <c r="F68" s="28"/>
      <c r="G68" s="28"/>
      <c r="H68" s="28"/>
      <c r="I68" s="28"/>
      <c r="J68" s="25"/>
      <c r="K68" s="25"/>
      <c r="L68" s="25"/>
      <c r="M68" s="7"/>
      <c r="N68" s="25"/>
      <c r="O68" s="7"/>
      <c r="P68" s="25"/>
    </row>
    <row r="69" spans="2:16" x14ac:dyDescent="0.25">
      <c r="B69" s="29" t="s">
        <v>29</v>
      </c>
      <c r="C69" s="29" t="s">
        <v>49</v>
      </c>
      <c r="D69" s="27">
        <f>SUM(D70:D72)</f>
        <v>1435</v>
      </c>
      <c r="E69" s="27">
        <f t="shared" ref="E69:O69" si="19">SUM(E70:E72)</f>
        <v>0</v>
      </c>
      <c r="F69" s="27">
        <f t="shared" si="19"/>
        <v>0</v>
      </c>
      <c r="G69" s="27">
        <f t="shared" si="19"/>
        <v>0</v>
      </c>
      <c r="H69" s="27">
        <f t="shared" si="19"/>
        <v>0</v>
      </c>
      <c r="I69" s="27">
        <f t="shared" si="19"/>
        <v>0</v>
      </c>
      <c r="J69" s="27">
        <f t="shared" si="19"/>
        <v>0</v>
      </c>
      <c r="K69" s="27">
        <f t="shared" si="19"/>
        <v>0</v>
      </c>
      <c r="L69" s="27">
        <f t="shared" si="19"/>
        <v>0</v>
      </c>
      <c r="M69" s="27">
        <f t="shared" si="19"/>
        <v>0</v>
      </c>
      <c r="N69" s="27">
        <f t="shared" si="19"/>
        <v>0</v>
      </c>
      <c r="O69" s="27">
        <f t="shared" si="19"/>
        <v>0</v>
      </c>
      <c r="P69" s="27">
        <f>SUM(P70:P72)</f>
        <v>0</v>
      </c>
    </row>
    <row r="70" spans="2:16" x14ac:dyDescent="0.25">
      <c r="B70" s="7" t="s">
        <v>29</v>
      </c>
      <c r="C70" s="7" t="s">
        <v>50</v>
      </c>
      <c r="D70" s="28">
        <v>860</v>
      </c>
      <c r="E70" s="28"/>
      <c r="F70" s="28"/>
      <c r="G70" s="28"/>
      <c r="H70" s="28"/>
      <c r="I70" s="28"/>
      <c r="J70" s="25"/>
      <c r="K70" s="25"/>
      <c r="L70" s="25"/>
      <c r="M70" s="7"/>
      <c r="N70" s="25"/>
      <c r="O70" s="7"/>
      <c r="P70" s="25"/>
    </row>
    <row r="71" spans="2:16" x14ac:dyDescent="0.25">
      <c r="B71" s="7" t="s">
        <v>29</v>
      </c>
      <c r="C71" s="7" t="s">
        <v>51</v>
      </c>
      <c r="D71" s="28">
        <v>300</v>
      </c>
      <c r="E71" s="28"/>
      <c r="F71" s="28"/>
      <c r="G71" s="28"/>
      <c r="H71" s="28"/>
      <c r="I71" s="28"/>
      <c r="J71" s="25"/>
      <c r="K71" s="25"/>
      <c r="L71" s="25"/>
      <c r="M71" s="7"/>
      <c r="N71" s="25"/>
      <c r="O71" s="7"/>
      <c r="P71" s="25"/>
    </row>
    <row r="72" spans="2:16" x14ac:dyDescent="0.25">
      <c r="B72" s="7" t="s">
        <v>29</v>
      </c>
      <c r="C72" s="7" t="s">
        <v>52</v>
      </c>
      <c r="D72" s="28">
        <v>275</v>
      </c>
      <c r="E72" s="28"/>
      <c r="F72" s="28"/>
      <c r="G72" s="28"/>
      <c r="H72" s="28"/>
      <c r="I72" s="28"/>
      <c r="J72" s="25"/>
      <c r="K72" s="25"/>
      <c r="L72" s="25"/>
      <c r="M72" s="7"/>
      <c r="N72" s="25"/>
      <c r="O72" s="7"/>
      <c r="P72" s="25"/>
    </row>
    <row r="73" spans="2:16" x14ac:dyDescent="0.25">
      <c r="B73" s="29" t="s">
        <v>30</v>
      </c>
      <c r="C73" s="29" t="s">
        <v>49</v>
      </c>
      <c r="D73" s="27">
        <f>SUM(D74:D76)</f>
        <v>4931</v>
      </c>
      <c r="E73" s="27">
        <f t="shared" ref="E73:O73" si="20">SUM(E74:E76)</f>
        <v>0</v>
      </c>
      <c r="F73" s="27">
        <f t="shared" si="20"/>
        <v>0</v>
      </c>
      <c r="G73" s="27">
        <f t="shared" si="20"/>
        <v>0</v>
      </c>
      <c r="H73" s="27">
        <f t="shared" si="20"/>
        <v>0</v>
      </c>
      <c r="I73" s="27">
        <f t="shared" si="20"/>
        <v>0</v>
      </c>
      <c r="J73" s="27">
        <f t="shared" si="20"/>
        <v>0</v>
      </c>
      <c r="K73" s="27">
        <f t="shared" si="20"/>
        <v>0</v>
      </c>
      <c r="L73" s="27">
        <f t="shared" si="20"/>
        <v>0</v>
      </c>
      <c r="M73" s="27">
        <f>SUM(M74:M76)</f>
        <v>0</v>
      </c>
      <c r="N73" s="27">
        <f t="shared" si="20"/>
        <v>0</v>
      </c>
      <c r="O73" s="27">
        <f t="shared" si="20"/>
        <v>0</v>
      </c>
      <c r="P73" s="27">
        <f t="shared" ref="P73" si="21">SUM(P74:P76)</f>
        <v>0</v>
      </c>
    </row>
    <row r="74" spans="2:16" x14ac:dyDescent="0.25">
      <c r="B74" s="7" t="s">
        <v>30</v>
      </c>
      <c r="C74" s="7" t="s">
        <v>50</v>
      </c>
      <c r="D74" s="7">
        <v>3921</v>
      </c>
      <c r="E74" s="7"/>
      <c r="F74" s="7"/>
      <c r="G74" s="7"/>
      <c r="H74" s="7"/>
      <c r="I74" s="7"/>
      <c r="J74" s="7"/>
      <c r="K74" s="7"/>
      <c r="L74" s="7"/>
      <c r="M74" s="7"/>
      <c r="N74" s="25"/>
      <c r="O74" s="7"/>
      <c r="P74" s="25"/>
    </row>
    <row r="75" spans="2:16" x14ac:dyDescent="0.25">
      <c r="B75" s="7" t="s">
        <v>30</v>
      </c>
      <c r="C75" s="7" t="s">
        <v>51</v>
      </c>
      <c r="D75" s="7">
        <v>305</v>
      </c>
      <c r="E75" s="7"/>
      <c r="F75" s="7"/>
      <c r="G75" s="7"/>
      <c r="H75" s="7"/>
      <c r="I75" s="7"/>
      <c r="J75" s="7"/>
      <c r="K75" s="7"/>
      <c r="L75" s="7"/>
      <c r="M75" s="7"/>
      <c r="N75" s="25"/>
      <c r="O75" s="7"/>
      <c r="P75" s="25"/>
    </row>
    <row r="76" spans="2:16" x14ac:dyDescent="0.25">
      <c r="B76" s="7" t="s">
        <v>30</v>
      </c>
      <c r="C76" s="7" t="s">
        <v>52</v>
      </c>
      <c r="D76" s="7">
        <v>705</v>
      </c>
      <c r="E76" s="7"/>
      <c r="F76" s="7"/>
      <c r="G76" s="7"/>
      <c r="H76" s="7"/>
      <c r="I76" s="7"/>
      <c r="J76" s="7"/>
      <c r="K76" s="7"/>
      <c r="L76" s="7"/>
      <c r="M76" s="7"/>
      <c r="N76" s="25"/>
      <c r="O76" s="7"/>
      <c r="P76" s="25"/>
    </row>
    <row r="77" spans="2:16" x14ac:dyDescent="0.25">
      <c r="B77" s="29" t="s">
        <v>31</v>
      </c>
      <c r="C77" s="29" t="s">
        <v>49</v>
      </c>
      <c r="D77" s="27">
        <f>SUM(D78:D81)</f>
        <v>20709</v>
      </c>
      <c r="E77" s="27">
        <f t="shared" ref="E77:O77" si="22">SUM(E78:E81)</f>
        <v>0</v>
      </c>
      <c r="F77" s="27">
        <f t="shared" si="22"/>
        <v>0</v>
      </c>
      <c r="G77" s="27">
        <f t="shared" si="22"/>
        <v>0</v>
      </c>
      <c r="H77" s="27">
        <f t="shared" si="22"/>
        <v>0</v>
      </c>
      <c r="I77" s="27">
        <f t="shared" si="22"/>
        <v>0</v>
      </c>
      <c r="J77" s="27">
        <f t="shared" si="22"/>
        <v>0</v>
      </c>
      <c r="K77" s="27">
        <f t="shared" si="22"/>
        <v>0</v>
      </c>
      <c r="L77" s="27">
        <f t="shared" si="22"/>
        <v>0</v>
      </c>
      <c r="M77" s="27">
        <f t="shared" si="22"/>
        <v>0</v>
      </c>
      <c r="N77" s="27">
        <f t="shared" si="22"/>
        <v>0</v>
      </c>
      <c r="O77" s="27">
        <f t="shared" si="22"/>
        <v>0</v>
      </c>
      <c r="P77" s="27">
        <f t="shared" ref="P77" si="23">SUM(P78:P81)</f>
        <v>0</v>
      </c>
    </row>
    <row r="78" spans="2:16" x14ac:dyDescent="0.25">
      <c r="B78" s="7" t="s">
        <v>31</v>
      </c>
      <c r="C78" s="7" t="s">
        <v>50</v>
      </c>
      <c r="D78" s="28">
        <v>2104</v>
      </c>
      <c r="E78" s="28"/>
      <c r="F78" s="28"/>
      <c r="G78" s="28"/>
      <c r="H78" s="28"/>
      <c r="I78" s="28"/>
      <c r="J78" s="25"/>
      <c r="K78" s="25"/>
      <c r="L78" s="25"/>
      <c r="M78" s="25"/>
      <c r="N78" s="25"/>
      <c r="O78" s="7"/>
      <c r="P78" s="25"/>
    </row>
    <row r="79" spans="2:16" x14ac:dyDescent="0.25">
      <c r="B79" s="7" t="s">
        <v>31</v>
      </c>
      <c r="C79" s="7" t="s">
        <v>53</v>
      </c>
      <c r="D79" s="28">
        <v>7</v>
      </c>
      <c r="E79" s="28"/>
      <c r="F79" s="28"/>
      <c r="G79" s="28"/>
      <c r="H79" s="28"/>
      <c r="I79" s="28"/>
      <c r="J79" s="25"/>
      <c r="K79" s="25"/>
      <c r="L79" s="25"/>
      <c r="M79" s="25"/>
      <c r="N79" s="25"/>
      <c r="O79" s="7"/>
      <c r="P79" s="25"/>
    </row>
    <row r="80" spans="2:16" x14ac:dyDescent="0.25">
      <c r="B80" s="7" t="s">
        <v>31</v>
      </c>
      <c r="C80" s="7" t="s">
        <v>51</v>
      </c>
      <c r="D80" s="28">
        <v>10699</v>
      </c>
      <c r="E80" s="28"/>
      <c r="F80" s="28"/>
      <c r="G80" s="28"/>
      <c r="H80" s="28"/>
      <c r="I80" s="28"/>
      <c r="J80" s="25"/>
      <c r="K80" s="25"/>
      <c r="L80" s="25"/>
      <c r="M80" s="7"/>
      <c r="N80" s="25"/>
      <c r="O80" s="7"/>
      <c r="P80" s="25"/>
    </row>
    <row r="81" spans="2:16" x14ac:dyDescent="0.25">
      <c r="B81" s="7" t="s">
        <v>31</v>
      </c>
      <c r="C81" s="7" t="s">
        <v>52</v>
      </c>
      <c r="D81" s="28">
        <v>7899</v>
      </c>
      <c r="E81" s="28"/>
      <c r="F81" s="28"/>
      <c r="G81" s="28"/>
      <c r="H81" s="28"/>
      <c r="I81" s="28"/>
      <c r="J81" s="25"/>
      <c r="K81" s="25"/>
      <c r="L81" s="25"/>
      <c r="M81" s="7"/>
      <c r="N81" s="25"/>
      <c r="O81" s="7"/>
      <c r="P81" s="25"/>
    </row>
    <row r="82" spans="2:16" x14ac:dyDescent="0.25">
      <c r="B82" s="29" t="s">
        <v>32</v>
      </c>
      <c r="C82" s="29" t="s">
        <v>49</v>
      </c>
      <c r="D82" s="27">
        <f>SUM(D83:D87)</f>
        <v>4363.3</v>
      </c>
      <c r="E82" s="27">
        <f t="shared" ref="E82:O82" si="24">SUM(E83:E87)</f>
        <v>0</v>
      </c>
      <c r="F82" s="27">
        <f t="shared" si="24"/>
        <v>0</v>
      </c>
      <c r="G82" s="27">
        <f t="shared" si="24"/>
        <v>0</v>
      </c>
      <c r="H82" s="27">
        <f t="shared" si="24"/>
        <v>0</v>
      </c>
      <c r="I82" s="27">
        <f t="shared" si="24"/>
        <v>0</v>
      </c>
      <c r="J82" s="27">
        <f t="shared" si="24"/>
        <v>0</v>
      </c>
      <c r="K82" s="27">
        <f t="shared" si="24"/>
        <v>0</v>
      </c>
      <c r="L82" s="27">
        <f t="shared" si="24"/>
        <v>0</v>
      </c>
      <c r="M82" s="27">
        <f t="shared" si="24"/>
        <v>0</v>
      </c>
      <c r="N82" s="27">
        <f t="shared" si="24"/>
        <v>0</v>
      </c>
      <c r="O82" s="27">
        <f t="shared" si="24"/>
        <v>0</v>
      </c>
      <c r="P82" s="27">
        <f t="shared" ref="P82" si="25">SUM(P83:P87)</f>
        <v>0</v>
      </c>
    </row>
    <row r="83" spans="2:16" x14ac:dyDescent="0.25">
      <c r="B83" s="7" t="s">
        <v>32</v>
      </c>
      <c r="C83" s="7" t="s">
        <v>50</v>
      </c>
      <c r="D83" s="28">
        <v>78.3</v>
      </c>
      <c r="E83" s="28"/>
      <c r="F83" s="28"/>
      <c r="G83" s="28"/>
      <c r="H83" s="28"/>
      <c r="I83" s="28"/>
      <c r="J83" s="25"/>
      <c r="K83" s="25"/>
      <c r="L83" s="25"/>
      <c r="M83" s="25"/>
      <c r="N83" s="25"/>
      <c r="O83" s="7"/>
      <c r="P83" s="25"/>
    </row>
    <row r="84" spans="2:16" x14ac:dyDescent="0.25">
      <c r="B84" s="7" t="s">
        <v>32</v>
      </c>
      <c r="C84" s="7" t="s">
        <v>53</v>
      </c>
      <c r="D84" s="28"/>
      <c r="E84" s="28"/>
      <c r="F84" s="28"/>
      <c r="G84" s="28"/>
      <c r="H84" s="28"/>
      <c r="I84" s="28"/>
      <c r="J84" s="25"/>
      <c r="K84" s="25"/>
      <c r="L84" s="25"/>
      <c r="M84" s="25"/>
      <c r="N84" s="25"/>
      <c r="O84" s="7"/>
      <c r="P84" s="25"/>
    </row>
    <row r="85" spans="2:16" x14ac:dyDescent="0.25">
      <c r="B85" s="7" t="s">
        <v>32</v>
      </c>
      <c r="C85" s="7" t="s">
        <v>51</v>
      </c>
      <c r="D85" s="7">
        <v>510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25"/>
    </row>
    <row r="86" spans="2:16" x14ac:dyDescent="0.25">
      <c r="B86" s="7" t="s">
        <v>32</v>
      </c>
      <c r="C86" s="7" t="s">
        <v>54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25"/>
    </row>
    <row r="87" spans="2:16" x14ac:dyDescent="0.25">
      <c r="B87" s="7" t="s">
        <v>32</v>
      </c>
      <c r="C87" s="7" t="s">
        <v>52</v>
      </c>
      <c r="D87" s="28">
        <v>3775</v>
      </c>
      <c r="E87" s="28"/>
      <c r="F87" s="28"/>
      <c r="G87" s="28"/>
      <c r="H87" s="28"/>
      <c r="I87" s="28"/>
      <c r="J87" s="25"/>
      <c r="K87" s="25"/>
      <c r="L87" s="25"/>
      <c r="M87" s="25"/>
      <c r="N87" s="25"/>
      <c r="O87" s="7"/>
      <c r="P87" s="25"/>
    </row>
    <row r="88" spans="2:16" x14ac:dyDescent="0.25">
      <c r="B88" s="29" t="s">
        <v>33</v>
      </c>
      <c r="C88" s="29" t="s">
        <v>49</v>
      </c>
      <c r="D88" s="27">
        <f>SUM(D89:D92)</f>
        <v>15289</v>
      </c>
      <c r="E88" s="27">
        <f t="shared" ref="E88:O88" si="26">SUM(E89:E92)</f>
        <v>0</v>
      </c>
      <c r="F88" s="27">
        <f t="shared" si="26"/>
        <v>0</v>
      </c>
      <c r="G88" s="27">
        <f t="shared" si="26"/>
        <v>0</v>
      </c>
      <c r="H88" s="27">
        <f t="shared" si="26"/>
        <v>0</v>
      </c>
      <c r="I88" s="27">
        <f t="shared" si="26"/>
        <v>0</v>
      </c>
      <c r="J88" s="27">
        <f t="shared" si="26"/>
        <v>0</v>
      </c>
      <c r="K88" s="27">
        <f t="shared" si="26"/>
        <v>0</v>
      </c>
      <c r="L88" s="27">
        <f t="shared" si="26"/>
        <v>0</v>
      </c>
      <c r="M88" s="27">
        <f t="shared" si="26"/>
        <v>0</v>
      </c>
      <c r="N88" s="27">
        <f t="shared" si="26"/>
        <v>0</v>
      </c>
      <c r="O88" s="27">
        <f t="shared" si="26"/>
        <v>0</v>
      </c>
      <c r="P88" s="27">
        <f t="shared" ref="P88" si="27">SUM(P89:P92)</f>
        <v>0</v>
      </c>
    </row>
    <row r="89" spans="2:16" x14ac:dyDescent="0.25">
      <c r="B89" s="7" t="s">
        <v>33</v>
      </c>
      <c r="C89" s="7" t="s">
        <v>50</v>
      </c>
      <c r="D89" s="7">
        <v>9170</v>
      </c>
      <c r="E89" s="7"/>
      <c r="F89" s="7"/>
      <c r="G89" s="7"/>
      <c r="H89" s="7"/>
      <c r="I89" s="7"/>
      <c r="J89" s="7"/>
      <c r="K89" s="7"/>
      <c r="L89" s="7"/>
      <c r="M89" s="7"/>
      <c r="N89" s="25"/>
      <c r="O89" s="7"/>
      <c r="P89" s="25"/>
    </row>
    <row r="90" spans="2:16" x14ac:dyDescent="0.25">
      <c r="B90" s="7" t="s">
        <v>33</v>
      </c>
      <c r="C90" s="7" t="s">
        <v>51</v>
      </c>
      <c r="D90" s="7">
        <v>4127</v>
      </c>
      <c r="E90" s="7"/>
      <c r="F90" s="7"/>
      <c r="G90" s="7"/>
      <c r="H90" s="7"/>
      <c r="I90" s="7"/>
      <c r="J90" s="7"/>
      <c r="K90" s="7"/>
      <c r="L90" s="7"/>
      <c r="M90" s="7"/>
      <c r="N90" s="25"/>
      <c r="O90" s="7"/>
      <c r="P90" s="25"/>
    </row>
    <row r="91" spans="2:16" x14ac:dyDescent="0.25">
      <c r="B91" s="7" t="s">
        <v>33</v>
      </c>
      <c r="C91" s="7" t="s">
        <v>54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25"/>
    </row>
    <row r="92" spans="2:16" x14ac:dyDescent="0.25">
      <c r="B92" s="7" t="s">
        <v>33</v>
      </c>
      <c r="C92" s="7" t="s">
        <v>52</v>
      </c>
      <c r="D92" s="7">
        <v>1992</v>
      </c>
      <c r="E92" s="7"/>
      <c r="F92" s="7"/>
      <c r="G92" s="7"/>
      <c r="H92" s="7"/>
      <c r="I92" s="7"/>
      <c r="J92" s="7"/>
      <c r="K92" s="7"/>
      <c r="L92" s="7"/>
      <c r="M92" s="7"/>
      <c r="N92" s="25"/>
      <c r="O92" s="7"/>
      <c r="P92" s="25"/>
    </row>
    <row r="93" spans="2:16" x14ac:dyDescent="0.25">
      <c r="B93" s="29" t="s">
        <v>34</v>
      </c>
      <c r="C93" s="29" t="s">
        <v>49</v>
      </c>
      <c r="D93" s="27">
        <f>SUM(D94:D96)</f>
        <v>5127</v>
      </c>
      <c r="E93" s="27">
        <f t="shared" ref="E93:O93" si="28">SUM(E94:E96)</f>
        <v>0</v>
      </c>
      <c r="F93" s="27">
        <f t="shared" si="28"/>
        <v>0</v>
      </c>
      <c r="G93" s="27">
        <f t="shared" si="28"/>
        <v>0</v>
      </c>
      <c r="H93" s="27">
        <f t="shared" si="28"/>
        <v>0</v>
      </c>
      <c r="I93" s="27">
        <f t="shared" si="28"/>
        <v>0</v>
      </c>
      <c r="J93" s="27">
        <f t="shared" si="28"/>
        <v>0</v>
      </c>
      <c r="K93" s="27">
        <f t="shared" si="28"/>
        <v>0</v>
      </c>
      <c r="L93" s="27">
        <f t="shared" si="28"/>
        <v>0</v>
      </c>
      <c r="M93" s="27">
        <f t="shared" si="28"/>
        <v>0</v>
      </c>
      <c r="N93" s="27">
        <f t="shared" si="28"/>
        <v>0</v>
      </c>
      <c r="O93" s="27">
        <f t="shared" si="28"/>
        <v>0</v>
      </c>
      <c r="P93" s="27">
        <f t="shared" ref="P93" si="29">SUM(P94:P96)</f>
        <v>0</v>
      </c>
    </row>
    <row r="94" spans="2:16" x14ac:dyDescent="0.25">
      <c r="B94" s="7" t="s">
        <v>34</v>
      </c>
      <c r="C94" s="7" t="s">
        <v>50</v>
      </c>
      <c r="D94" s="28">
        <v>3280</v>
      </c>
      <c r="E94" s="28"/>
      <c r="F94" s="28"/>
      <c r="G94" s="28"/>
      <c r="H94" s="28"/>
      <c r="I94" s="28"/>
      <c r="J94" s="25"/>
      <c r="K94" s="25"/>
      <c r="L94" s="25"/>
      <c r="M94" s="7"/>
      <c r="N94" s="25"/>
      <c r="O94" s="7"/>
      <c r="P94" s="25"/>
    </row>
    <row r="95" spans="2:16" x14ac:dyDescent="0.25">
      <c r="B95" s="7" t="s">
        <v>34</v>
      </c>
      <c r="C95" s="7" t="s">
        <v>51</v>
      </c>
      <c r="D95" s="28">
        <v>742</v>
      </c>
      <c r="E95" s="28"/>
      <c r="F95" s="28"/>
      <c r="G95" s="28"/>
      <c r="H95" s="28"/>
      <c r="I95" s="28"/>
      <c r="J95" s="25"/>
      <c r="K95" s="25"/>
      <c r="L95" s="25"/>
      <c r="M95" s="7"/>
      <c r="N95" s="25"/>
      <c r="O95" s="7"/>
      <c r="P95" s="25"/>
    </row>
    <row r="96" spans="2:16" x14ac:dyDescent="0.25">
      <c r="B96" s="7" t="s">
        <v>34</v>
      </c>
      <c r="C96" s="7" t="s">
        <v>52</v>
      </c>
      <c r="D96" s="28">
        <v>1105</v>
      </c>
      <c r="E96" s="28"/>
      <c r="F96" s="28"/>
      <c r="G96" s="28"/>
      <c r="H96" s="28"/>
      <c r="I96" s="28"/>
      <c r="J96" s="25"/>
      <c r="K96" s="25"/>
      <c r="L96" s="25"/>
      <c r="M96" s="7"/>
      <c r="N96" s="25"/>
      <c r="O96" s="7"/>
      <c r="P96" s="25"/>
    </row>
    <row r="97" spans="2:16" x14ac:dyDescent="0.25">
      <c r="B97" s="29" t="s">
        <v>35</v>
      </c>
      <c r="C97" s="29" t="s">
        <v>49</v>
      </c>
      <c r="D97" s="27">
        <f>SUM(D98:D102)</f>
        <v>5244</v>
      </c>
      <c r="E97" s="27">
        <f t="shared" ref="E97:O97" si="30">SUM(E98:E102)</f>
        <v>0</v>
      </c>
      <c r="F97" s="27">
        <f t="shared" si="30"/>
        <v>0</v>
      </c>
      <c r="G97" s="27">
        <f t="shared" si="30"/>
        <v>0</v>
      </c>
      <c r="H97" s="27">
        <f t="shared" si="30"/>
        <v>0</v>
      </c>
      <c r="I97" s="27">
        <f t="shared" si="30"/>
        <v>0</v>
      </c>
      <c r="J97" s="27">
        <f t="shared" si="30"/>
        <v>0</v>
      </c>
      <c r="K97" s="27">
        <f t="shared" si="30"/>
        <v>0</v>
      </c>
      <c r="L97" s="27">
        <f t="shared" si="30"/>
        <v>0</v>
      </c>
      <c r="M97" s="27">
        <f>SUM(M98:M102)</f>
        <v>0</v>
      </c>
      <c r="N97" s="27">
        <f t="shared" si="30"/>
        <v>0</v>
      </c>
      <c r="O97" s="27">
        <f t="shared" si="30"/>
        <v>0</v>
      </c>
      <c r="P97" s="27">
        <f>SUM(P98:P102)</f>
        <v>0</v>
      </c>
    </row>
    <row r="98" spans="2:16" x14ac:dyDescent="0.25">
      <c r="B98" s="7" t="s">
        <v>35</v>
      </c>
      <c r="C98" s="7" t="s">
        <v>50</v>
      </c>
      <c r="D98" s="7">
        <v>4225</v>
      </c>
      <c r="E98" s="7"/>
      <c r="F98" s="7"/>
      <c r="G98" s="7"/>
      <c r="H98" s="7"/>
      <c r="I98" s="7"/>
      <c r="J98" s="7"/>
      <c r="K98" s="7"/>
      <c r="L98" s="7"/>
      <c r="M98" s="7"/>
      <c r="N98" s="25"/>
      <c r="O98" s="7"/>
      <c r="P98" s="25"/>
    </row>
    <row r="99" spans="2:16" x14ac:dyDescent="0.25">
      <c r="B99" s="7" t="s">
        <v>35</v>
      </c>
      <c r="C99" s="7" t="s">
        <v>53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25"/>
      <c r="O99" s="7"/>
      <c r="P99" s="25"/>
    </row>
    <row r="100" spans="2:16" x14ac:dyDescent="0.25">
      <c r="B100" s="7" t="s">
        <v>35</v>
      </c>
      <c r="C100" s="7" t="s">
        <v>51</v>
      </c>
      <c r="D100" s="7">
        <v>508</v>
      </c>
      <c r="E100" s="7"/>
      <c r="F100" s="7"/>
      <c r="G100" s="7"/>
      <c r="H100" s="7"/>
      <c r="I100" s="7"/>
      <c r="J100" s="7"/>
      <c r="K100" s="7"/>
      <c r="L100" s="7"/>
      <c r="M100" s="7"/>
      <c r="N100" s="25"/>
      <c r="O100" s="7"/>
      <c r="P100" s="25"/>
    </row>
    <row r="101" spans="2:16" x14ac:dyDescent="0.25">
      <c r="B101" s="7" t="s">
        <v>35</v>
      </c>
      <c r="C101" s="7" t="s">
        <v>54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25"/>
      <c r="O101" s="7"/>
      <c r="P101" s="25"/>
    </row>
    <row r="102" spans="2:16" x14ac:dyDescent="0.25">
      <c r="B102" s="7" t="s">
        <v>35</v>
      </c>
      <c r="C102" s="7" t="s">
        <v>52</v>
      </c>
      <c r="D102" s="7">
        <v>511</v>
      </c>
      <c r="E102" s="7"/>
      <c r="F102" s="7"/>
      <c r="G102" s="7"/>
      <c r="H102" s="7"/>
      <c r="I102" s="7"/>
      <c r="J102" s="7"/>
      <c r="K102" s="7"/>
      <c r="L102" s="7"/>
      <c r="M102" s="7"/>
      <c r="N102" s="25"/>
      <c r="O102" s="7"/>
      <c r="P102" s="25"/>
    </row>
    <row r="103" spans="2:16" x14ac:dyDescent="0.25">
      <c r="B103" s="29" t="s">
        <v>36</v>
      </c>
      <c r="C103" s="29" t="s">
        <v>49</v>
      </c>
      <c r="D103" s="27">
        <f>SUM(D104:D108)</f>
        <v>6497</v>
      </c>
      <c r="E103" s="27">
        <f t="shared" ref="E103:O103" si="31">SUM(E104:E108)</f>
        <v>0</v>
      </c>
      <c r="F103" s="27">
        <f t="shared" si="31"/>
        <v>0</v>
      </c>
      <c r="G103" s="27">
        <f t="shared" si="31"/>
        <v>0</v>
      </c>
      <c r="H103" s="27">
        <f t="shared" si="31"/>
        <v>0</v>
      </c>
      <c r="I103" s="27">
        <f t="shared" si="31"/>
        <v>0</v>
      </c>
      <c r="J103" s="27">
        <f t="shared" si="31"/>
        <v>0</v>
      </c>
      <c r="K103" s="27">
        <f t="shared" si="31"/>
        <v>0</v>
      </c>
      <c r="L103" s="27">
        <f t="shared" si="31"/>
        <v>0</v>
      </c>
      <c r="M103" s="27">
        <f t="shared" si="31"/>
        <v>0</v>
      </c>
      <c r="N103" s="27">
        <f t="shared" si="31"/>
        <v>0</v>
      </c>
      <c r="O103" s="27">
        <f t="shared" si="31"/>
        <v>0</v>
      </c>
      <c r="P103" s="27">
        <f t="shared" ref="P103" si="32">SUM(P104:P108)</f>
        <v>0</v>
      </c>
    </row>
    <row r="104" spans="2:16" x14ac:dyDescent="0.25">
      <c r="B104" s="7" t="s">
        <v>36</v>
      </c>
      <c r="C104" s="7" t="s">
        <v>50</v>
      </c>
      <c r="D104" s="7">
        <v>1112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25"/>
    </row>
    <row r="105" spans="2:16" x14ac:dyDescent="0.25">
      <c r="B105" s="7" t="s">
        <v>36</v>
      </c>
      <c r="C105" s="7" t="s">
        <v>53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35"/>
      <c r="P105" s="25"/>
    </row>
    <row r="106" spans="2:16" x14ac:dyDescent="0.25">
      <c r="B106" s="7" t="s">
        <v>36</v>
      </c>
      <c r="C106" s="7" t="s">
        <v>51</v>
      </c>
      <c r="D106" s="7">
        <v>2367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35"/>
      <c r="P106" s="25"/>
    </row>
    <row r="107" spans="2:16" x14ac:dyDescent="0.25">
      <c r="B107" s="7" t="s">
        <v>36</v>
      </c>
      <c r="C107" s="7" t="s">
        <v>54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25"/>
    </row>
    <row r="108" spans="2:16" x14ac:dyDescent="0.25">
      <c r="B108" s="7" t="s">
        <v>36</v>
      </c>
      <c r="C108" s="7" t="s">
        <v>52</v>
      </c>
      <c r="D108" s="7">
        <v>3018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35"/>
      <c r="P108" s="25"/>
    </row>
    <row r="109" spans="2:16" x14ac:dyDescent="0.25">
      <c r="B109" s="29" t="s">
        <v>37</v>
      </c>
      <c r="C109" s="29" t="s">
        <v>49</v>
      </c>
      <c r="D109" s="27">
        <f>SUM(D110:D113)</f>
        <v>6483.4699999999993</v>
      </c>
      <c r="E109" s="27">
        <f t="shared" ref="E109:O109" si="33">SUM(E110:E113)</f>
        <v>0</v>
      </c>
      <c r="F109" s="27">
        <f t="shared" si="33"/>
        <v>0</v>
      </c>
      <c r="G109" s="27">
        <f t="shared" si="33"/>
        <v>0</v>
      </c>
      <c r="H109" s="27">
        <f t="shared" si="33"/>
        <v>0</v>
      </c>
      <c r="I109" s="27">
        <f t="shared" si="33"/>
        <v>0</v>
      </c>
      <c r="J109" s="27">
        <f t="shared" si="33"/>
        <v>0</v>
      </c>
      <c r="K109" s="27">
        <f t="shared" si="33"/>
        <v>0</v>
      </c>
      <c r="L109" s="27">
        <f t="shared" si="33"/>
        <v>0</v>
      </c>
      <c r="M109" s="27">
        <f t="shared" si="33"/>
        <v>0</v>
      </c>
      <c r="N109" s="27">
        <f t="shared" si="33"/>
        <v>0</v>
      </c>
      <c r="O109" s="27">
        <f t="shared" si="33"/>
        <v>0</v>
      </c>
      <c r="P109" s="27">
        <f>SUM(P110:P113)</f>
        <v>0</v>
      </c>
    </row>
    <row r="110" spans="2:16" x14ac:dyDescent="0.25">
      <c r="B110" s="7" t="s">
        <v>37</v>
      </c>
      <c r="C110" s="7" t="s">
        <v>50</v>
      </c>
      <c r="D110" s="28">
        <v>2672.47</v>
      </c>
      <c r="E110" s="28"/>
      <c r="F110" s="28"/>
      <c r="G110" s="28"/>
      <c r="H110" s="28"/>
      <c r="I110" s="28"/>
      <c r="J110" s="25"/>
      <c r="K110" s="25"/>
      <c r="L110" s="25"/>
      <c r="M110" s="7"/>
      <c r="N110" s="7"/>
      <c r="O110" s="7"/>
      <c r="P110" s="25"/>
    </row>
    <row r="111" spans="2:16" x14ac:dyDescent="0.25">
      <c r="B111" s="7" t="s">
        <v>37</v>
      </c>
      <c r="C111" s="7" t="s">
        <v>51</v>
      </c>
      <c r="D111" s="28">
        <v>216</v>
      </c>
      <c r="E111" s="28"/>
      <c r="F111" s="28"/>
      <c r="G111" s="28"/>
      <c r="H111" s="28"/>
      <c r="I111" s="28"/>
      <c r="J111" s="25"/>
      <c r="K111" s="25"/>
      <c r="L111" s="25"/>
      <c r="M111" s="7"/>
      <c r="N111" s="7"/>
      <c r="O111" s="35"/>
      <c r="P111" s="25"/>
    </row>
    <row r="112" spans="2:16" x14ac:dyDescent="0.25">
      <c r="B112" s="7" t="s">
        <v>37</v>
      </c>
      <c r="C112" s="7" t="s">
        <v>54</v>
      </c>
      <c r="D112" s="28"/>
      <c r="E112" s="28"/>
      <c r="F112" s="28"/>
      <c r="G112" s="28"/>
      <c r="H112" s="28"/>
      <c r="I112" s="28"/>
      <c r="J112" s="25"/>
      <c r="K112" s="25"/>
      <c r="L112" s="25"/>
      <c r="M112" s="7"/>
      <c r="N112" s="7"/>
      <c r="O112" s="35"/>
      <c r="P112" s="25"/>
    </row>
    <row r="113" spans="2:16" x14ac:dyDescent="0.25">
      <c r="B113" s="7" t="s">
        <v>37</v>
      </c>
      <c r="C113" s="7" t="s">
        <v>52</v>
      </c>
      <c r="D113" s="28">
        <v>3595</v>
      </c>
      <c r="E113" s="28"/>
      <c r="F113" s="28"/>
      <c r="G113" s="28"/>
      <c r="H113" s="28"/>
      <c r="I113" s="28"/>
      <c r="J113" s="25"/>
      <c r="K113" s="25"/>
      <c r="L113" s="25"/>
      <c r="M113" s="7"/>
      <c r="N113" s="7"/>
      <c r="O113" s="7"/>
      <c r="P113" s="25"/>
    </row>
    <row r="114" spans="2:16" x14ac:dyDescent="0.25">
      <c r="B114" s="29" t="s">
        <v>38</v>
      </c>
      <c r="C114" s="29" t="s">
        <v>49</v>
      </c>
      <c r="D114" s="27">
        <f>SUM(D115:D117)</f>
        <v>915</v>
      </c>
      <c r="E114" s="27">
        <f t="shared" ref="E114:O114" si="34">SUM(E115:E117)</f>
        <v>0</v>
      </c>
      <c r="F114" s="27">
        <f t="shared" si="34"/>
        <v>0</v>
      </c>
      <c r="G114" s="27">
        <f t="shared" si="34"/>
        <v>0</v>
      </c>
      <c r="H114" s="27">
        <f t="shared" si="34"/>
        <v>0</v>
      </c>
      <c r="I114" s="27">
        <f t="shared" si="34"/>
        <v>0</v>
      </c>
      <c r="J114" s="27">
        <f t="shared" si="34"/>
        <v>0</v>
      </c>
      <c r="K114" s="27">
        <f t="shared" si="34"/>
        <v>0</v>
      </c>
      <c r="L114" s="27">
        <f t="shared" si="34"/>
        <v>0</v>
      </c>
      <c r="M114" s="27">
        <f t="shared" si="34"/>
        <v>0</v>
      </c>
      <c r="N114" s="27">
        <f t="shared" si="34"/>
        <v>0</v>
      </c>
      <c r="O114" s="27">
        <f t="shared" si="34"/>
        <v>0</v>
      </c>
      <c r="P114" s="27">
        <f t="shared" ref="P114" si="35">SUM(P115:P117)</f>
        <v>0</v>
      </c>
    </row>
    <row r="115" spans="2:16" x14ac:dyDescent="0.25">
      <c r="B115" s="7" t="s">
        <v>38</v>
      </c>
      <c r="C115" s="7" t="s">
        <v>50</v>
      </c>
      <c r="D115" s="28"/>
      <c r="E115" s="28"/>
      <c r="F115" s="28"/>
      <c r="G115" s="28"/>
      <c r="H115" s="28"/>
      <c r="I115" s="28"/>
      <c r="J115" s="25"/>
      <c r="K115" s="25"/>
      <c r="L115" s="25"/>
      <c r="M115" s="7"/>
      <c r="N115" s="7"/>
      <c r="O115" s="35"/>
      <c r="P115" s="25"/>
    </row>
    <row r="116" spans="2:16" x14ac:dyDescent="0.25">
      <c r="B116" s="7" t="s">
        <v>38</v>
      </c>
      <c r="C116" s="7" t="s">
        <v>51</v>
      </c>
      <c r="D116" s="28">
        <v>100</v>
      </c>
      <c r="E116" s="28"/>
      <c r="F116" s="28"/>
      <c r="G116" s="28"/>
      <c r="H116" s="28"/>
      <c r="I116" s="28"/>
      <c r="J116" s="25"/>
      <c r="K116" s="25"/>
      <c r="L116" s="25"/>
      <c r="M116" s="7"/>
      <c r="N116" s="7"/>
      <c r="O116" s="35"/>
      <c r="P116" s="25"/>
    </row>
    <row r="117" spans="2:16" x14ac:dyDescent="0.25">
      <c r="B117" s="7" t="s">
        <v>38</v>
      </c>
      <c r="C117" s="7" t="s">
        <v>52</v>
      </c>
      <c r="D117" s="28">
        <v>815</v>
      </c>
      <c r="E117" s="28"/>
      <c r="F117" s="28"/>
      <c r="G117" s="28"/>
      <c r="H117" s="28"/>
      <c r="I117" s="28"/>
      <c r="J117" s="25"/>
      <c r="K117" s="25"/>
      <c r="L117" s="25"/>
      <c r="M117" s="7"/>
      <c r="N117" s="7"/>
      <c r="O117" s="7"/>
      <c r="P117" s="25"/>
    </row>
    <row r="118" spans="2:16" x14ac:dyDescent="0.25">
      <c r="B118" s="29" t="s">
        <v>39</v>
      </c>
      <c r="C118" s="29" t="s">
        <v>49</v>
      </c>
      <c r="D118" s="27">
        <f>SUM(D119:D122)</f>
        <v>3516</v>
      </c>
      <c r="E118" s="27">
        <f t="shared" ref="E118:O118" si="36">SUM(E119:E122)</f>
        <v>0</v>
      </c>
      <c r="F118" s="27">
        <f t="shared" si="36"/>
        <v>0</v>
      </c>
      <c r="G118" s="27">
        <f t="shared" si="36"/>
        <v>0</v>
      </c>
      <c r="H118" s="27">
        <f t="shared" si="36"/>
        <v>0</v>
      </c>
      <c r="I118" s="27">
        <f t="shared" si="36"/>
        <v>0</v>
      </c>
      <c r="J118" s="27">
        <f t="shared" si="36"/>
        <v>0</v>
      </c>
      <c r="K118" s="27">
        <f t="shared" si="36"/>
        <v>0</v>
      </c>
      <c r="L118" s="27">
        <f t="shared" si="36"/>
        <v>0</v>
      </c>
      <c r="M118" s="27">
        <f t="shared" si="36"/>
        <v>0</v>
      </c>
      <c r="N118" s="27">
        <f t="shared" si="36"/>
        <v>0</v>
      </c>
      <c r="O118" s="27">
        <f t="shared" si="36"/>
        <v>0</v>
      </c>
      <c r="P118" s="27">
        <f t="shared" ref="P118" si="37">SUM(P119:P122)</f>
        <v>0</v>
      </c>
    </row>
    <row r="119" spans="2:16" x14ac:dyDescent="0.25">
      <c r="B119" s="7" t="s">
        <v>39</v>
      </c>
      <c r="C119" s="7" t="s">
        <v>50</v>
      </c>
      <c r="D119" s="7">
        <v>2208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35"/>
      <c r="P119" s="25"/>
    </row>
    <row r="120" spans="2:16" x14ac:dyDescent="0.25">
      <c r="B120" s="7" t="s">
        <v>39</v>
      </c>
      <c r="C120" s="7" t="s">
        <v>51</v>
      </c>
      <c r="D120" s="7">
        <v>70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35"/>
      <c r="P120" s="25"/>
    </row>
    <row r="121" spans="2:16" x14ac:dyDescent="0.25">
      <c r="B121" s="7" t="s">
        <v>39</v>
      </c>
      <c r="C121" s="7" t="s">
        <v>54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35"/>
      <c r="P121" s="25"/>
    </row>
    <row r="122" spans="2:16" x14ac:dyDescent="0.25">
      <c r="B122" s="7" t="s">
        <v>39</v>
      </c>
      <c r="C122" s="7" t="s">
        <v>52</v>
      </c>
      <c r="D122" s="7">
        <v>1238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25"/>
    </row>
    <row r="123" spans="2:16" x14ac:dyDescent="0.25">
      <c r="B123" s="29" t="s">
        <v>40</v>
      </c>
      <c r="C123" s="29" t="s">
        <v>49</v>
      </c>
      <c r="D123" s="27">
        <f>SUM(D124:D126)</f>
        <v>67145</v>
      </c>
      <c r="E123" s="27">
        <f t="shared" ref="E123:O123" si="38">SUM(E124:E126)</f>
        <v>0</v>
      </c>
      <c r="F123" s="27">
        <f t="shared" si="38"/>
        <v>0</v>
      </c>
      <c r="G123" s="27">
        <f t="shared" si="38"/>
        <v>0</v>
      </c>
      <c r="H123" s="27">
        <f t="shared" si="38"/>
        <v>0</v>
      </c>
      <c r="I123" s="27">
        <f t="shared" si="38"/>
        <v>0</v>
      </c>
      <c r="J123" s="27">
        <f t="shared" si="38"/>
        <v>0</v>
      </c>
      <c r="K123" s="27">
        <f t="shared" si="38"/>
        <v>0</v>
      </c>
      <c r="L123" s="27">
        <f t="shared" si="38"/>
        <v>0</v>
      </c>
      <c r="M123" s="27">
        <f t="shared" si="38"/>
        <v>0</v>
      </c>
      <c r="N123" s="27">
        <f t="shared" si="38"/>
        <v>0</v>
      </c>
      <c r="O123" s="27">
        <f t="shared" si="38"/>
        <v>0</v>
      </c>
      <c r="P123" s="27">
        <f>SUM(P124:P126)</f>
        <v>0</v>
      </c>
    </row>
    <row r="124" spans="2:16" x14ac:dyDescent="0.25">
      <c r="B124" s="7" t="s">
        <v>40</v>
      </c>
      <c r="C124" s="7" t="s">
        <v>50</v>
      </c>
      <c r="D124" s="7">
        <v>14730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25"/>
    </row>
    <row r="125" spans="2:16" x14ac:dyDescent="0.25">
      <c r="B125" s="7" t="s">
        <v>40</v>
      </c>
      <c r="C125" s="7" t="s">
        <v>51</v>
      </c>
      <c r="D125" s="7">
        <v>28800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25"/>
    </row>
    <row r="126" spans="2:16" x14ac:dyDescent="0.25">
      <c r="B126" s="7" t="s">
        <v>40</v>
      </c>
      <c r="C126" s="7" t="s">
        <v>52</v>
      </c>
      <c r="D126" s="7">
        <v>23615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25"/>
    </row>
    <row r="127" spans="2:16" x14ac:dyDescent="0.25">
      <c r="B127" s="29" t="s">
        <v>41</v>
      </c>
      <c r="C127" s="29" t="s">
        <v>49</v>
      </c>
      <c r="D127" s="27">
        <f>SUM(D128:D130)</f>
        <v>9238</v>
      </c>
      <c r="E127" s="27">
        <f t="shared" ref="E127:O127" si="39">SUM(E128:E130)</f>
        <v>0</v>
      </c>
      <c r="F127" s="27">
        <f t="shared" si="39"/>
        <v>0</v>
      </c>
      <c r="G127" s="27">
        <f t="shared" si="39"/>
        <v>0</v>
      </c>
      <c r="H127" s="27">
        <f t="shared" si="39"/>
        <v>0</v>
      </c>
      <c r="I127" s="27">
        <f t="shared" si="39"/>
        <v>0</v>
      </c>
      <c r="J127" s="27">
        <f t="shared" si="39"/>
        <v>0</v>
      </c>
      <c r="K127" s="27">
        <f t="shared" si="39"/>
        <v>0</v>
      </c>
      <c r="L127" s="27">
        <f t="shared" si="39"/>
        <v>0</v>
      </c>
      <c r="M127" s="27">
        <f t="shared" si="39"/>
        <v>0</v>
      </c>
      <c r="N127" s="27">
        <f t="shared" si="39"/>
        <v>0</v>
      </c>
      <c r="O127" s="27">
        <f t="shared" si="39"/>
        <v>0</v>
      </c>
      <c r="P127" s="27">
        <f>SUM(P128:P130)</f>
        <v>0</v>
      </c>
    </row>
    <row r="128" spans="2:16" x14ac:dyDescent="0.25">
      <c r="B128" s="7" t="s">
        <v>41</v>
      </c>
      <c r="C128" s="7" t="s">
        <v>50</v>
      </c>
      <c r="D128" s="28">
        <v>5942</v>
      </c>
      <c r="E128" s="28"/>
      <c r="F128" s="28"/>
      <c r="G128" s="28"/>
      <c r="H128" s="28"/>
      <c r="I128" s="28"/>
      <c r="J128" s="25"/>
      <c r="K128" s="25"/>
      <c r="L128" s="25"/>
      <c r="M128" s="7"/>
      <c r="N128" s="7"/>
      <c r="O128" s="7"/>
      <c r="P128" s="25"/>
    </row>
    <row r="129" spans="2:16" x14ac:dyDescent="0.25">
      <c r="B129" s="7" t="s">
        <v>41</v>
      </c>
      <c r="C129" s="7" t="s">
        <v>51</v>
      </c>
      <c r="D129" s="28">
        <v>403</v>
      </c>
      <c r="E129" s="28"/>
      <c r="F129" s="28"/>
      <c r="G129" s="28"/>
      <c r="H129" s="28"/>
      <c r="I129" s="28"/>
      <c r="J129" s="25"/>
      <c r="K129" s="25"/>
      <c r="L129" s="25"/>
      <c r="M129" s="7"/>
      <c r="N129" s="7"/>
      <c r="O129" s="35"/>
      <c r="P129" s="25"/>
    </row>
    <row r="130" spans="2:16" x14ac:dyDescent="0.25">
      <c r="B130" s="7" t="s">
        <v>41</v>
      </c>
      <c r="C130" s="7" t="s">
        <v>52</v>
      </c>
      <c r="D130" s="28">
        <v>2893</v>
      </c>
      <c r="E130" s="28"/>
      <c r="F130" s="28"/>
      <c r="G130" s="28"/>
      <c r="H130" s="28"/>
      <c r="I130" s="28"/>
      <c r="J130" s="25"/>
      <c r="K130" s="25"/>
      <c r="L130" s="25"/>
      <c r="M130" s="7"/>
      <c r="N130" s="7"/>
      <c r="O130" s="35"/>
      <c r="P130" s="25"/>
    </row>
    <row r="131" spans="2:16" x14ac:dyDescent="0.25">
      <c r="B131" s="29" t="s">
        <v>42</v>
      </c>
      <c r="C131" s="29" t="s">
        <v>49</v>
      </c>
      <c r="D131" s="27">
        <f>SUM(D132:D134)</f>
        <v>1710</v>
      </c>
      <c r="E131" s="27">
        <f t="shared" ref="E131:O131" si="40">SUM(E132:E134)</f>
        <v>0</v>
      </c>
      <c r="F131" s="27">
        <f t="shared" si="40"/>
        <v>0</v>
      </c>
      <c r="G131" s="27">
        <f t="shared" si="40"/>
        <v>0</v>
      </c>
      <c r="H131" s="27">
        <f t="shared" si="40"/>
        <v>0</v>
      </c>
      <c r="I131" s="27">
        <f t="shared" si="40"/>
        <v>0</v>
      </c>
      <c r="J131" s="27">
        <f t="shared" si="40"/>
        <v>0</v>
      </c>
      <c r="K131" s="27">
        <f t="shared" si="40"/>
        <v>0</v>
      </c>
      <c r="L131" s="27">
        <f t="shared" si="40"/>
        <v>0</v>
      </c>
      <c r="M131" s="27">
        <f t="shared" si="40"/>
        <v>0</v>
      </c>
      <c r="N131" s="27">
        <f t="shared" si="40"/>
        <v>0</v>
      </c>
      <c r="O131" s="27">
        <f t="shared" si="40"/>
        <v>0</v>
      </c>
      <c r="P131" s="27">
        <f>SUM(P132:P134)</f>
        <v>0</v>
      </c>
    </row>
    <row r="132" spans="2:16" x14ac:dyDescent="0.25">
      <c r="B132" s="7" t="s">
        <v>42</v>
      </c>
      <c r="C132" s="7" t="s">
        <v>50</v>
      </c>
      <c r="D132" s="28">
        <v>760</v>
      </c>
      <c r="E132" s="28"/>
      <c r="F132" s="28"/>
      <c r="G132" s="28"/>
      <c r="H132" s="28"/>
      <c r="I132" s="28"/>
      <c r="J132" s="25"/>
      <c r="K132" s="25"/>
      <c r="L132" s="25"/>
      <c r="M132" s="7"/>
      <c r="N132" s="25"/>
      <c r="O132" s="7"/>
      <c r="P132" s="25"/>
    </row>
    <row r="133" spans="2:16" x14ac:dyDescent="0.25">
      <c r="B133" s="7" t="s">
        <v>42</v>
      </c>
      <c r="C133" s="7" t="s">
        <v>51</v>
      </c>
      <c r="D133" s="28"/>
      <c r="E133" s="28"/>
      <c r="F133" s="28"/>
      <c r="G133" s="28"/>
      <c r="H133" s="28"/>
      <c r="I133" s="28"/>
      <c r="J133" s="25"/>
      <c r="K133" s="25"/>
      <c r="L133" s="25"/>
      <c r="M133" s="7"/>
      <c r="N133" s="25"/>
      <c r="O133" s="35"/>
      <c r="P133" s="25"/>
    </row>
    <row r="134" spans="2:16" x14ac:dyDescent="0.25">
      <c r="B134" s="7" t="s">
        <v>42</v>
      </c>
      <c r="C134" s="7" t="s">
        <v>52</v>
      </c>
      <c r="D134" s="28">
        <v>950</v>
      </c>
      <c r="E134" s="28"/>
      <c r="F134" s="28"/>
      <c r="G134" s="28"/>
      <c r="H134" s="28"/>
      <c r="I134" s="28"/>
      <c r="J134" s="25"/>
      <c r="K134" s="25"/>
      <c r="L134" s="25"/>
      <c r="M134" s="7"/>
      <c r="N134" s="25"/>
      <c r="O134" s="7"/>
      <c r="P134" s="25"/>
    </row>
    <row r="135" spans="2:16" x14ac:dyDescent="0.25">
      <c r="B135" s="29" t="s">
        <v>43</v>
      </c>
      <c r="C135" s="29" t="s">
        <v>49</v>
      </c>
      <c r="D135" s="27">
        <f>SUM(D136:D140)</f>
        <v>7088</v>
      </c>
      <c r="E135" s="27">
        <f t="shared" ref="E135:O135" si="41">SUM(E136:E140)</f>
        <v>0</v>
      </c>
      <c r="F135" s="27">
        <f t="shared" si="41"/>
        <v>0</v>
      </c>
      <c r="G135" s="27">
        <f t="shared" si="41"/>
        <v>0</v>
      </c>
      <c r="H135" s="27">
        <f t="shared" si="41"/>
        <v>0</v>
      </c>
      <c r="I135" s="27">
        <f t="shared" si="41"/>
        <v>0</v>
      </c>
      <c r="J135" s="27">
        <f t="shared" si="41"/>
        <v>0</v>
      </c>
      <c r="K135" s="27">
        <f t="shared" si="41"/>
        <v>0</v>
      </c>
      <c r="L135" s="27">
        <f t="shared" si="41"/>
        <v>0</v>
      </c>
      <c r="M135" s="27">
        <f t="shared" si="41"/>
        <v>0</v>
      </c>
      <c r="N135" s="27">
        <f t="shared" si="41"/>
        <v>0</v>
      </c>
      <c r="O135" s="27">
        <f t="shared" si="41"/>
        <v>0</v>
      </c>
      <c r="P135" s="27">
        <f>SUM(P136:P140)</f>
        <v>0</v>
      </c>
    </row>
    <row r="136" spans="2:16" x14ac:dyDescent="0.25">
      <c r="B136" s="7" t="s">
        <v>43</v>
      </c>
      <c r="C136" s="7" t="s">
        <v>50</v>
      </c>
      <c r="D136" s="28">
        <v>720</v>
      </c>
      <c r="E136" s="28"/>
      <c r="F136" s="28"/>
      <c r="G136" s="28"/>
      <c r="H136" s="28"/>
      <c r="I136" s="28"/>
      <c r="J136" s="25"/>
      <c r="K136" s="25"/>
      <c r="L136" s="25"/>
      <c r="M136" s="7"/>
      <c r="N136" s="25"/>
      <c r="O136" s="7"/>
      <c r="P136" s="25"/>
    </row>
    <row r="137" spans="2:16" x14ac:dyDescent="0.25">
      <c r="B137" s="7" t="s">
        <v>43</v>
      </c>
      <c r="C137" s="7" t="s">
        <v>53</v>
      </c>
      <c r="D137" s="28">
        <v>1009</v>
      </c>
      <c r="E137" s="28"/>
      <c r="F137" s="28"/>
      <c r="G137" s="28"/>
      <c r="H137" s="28"/>
      <c r="I137" s="28"/>
      <c r="J137" s="25"/>
      <c r="K137" s="25"/>
      <c r="L137" s="25"/>
      <c r="M137" s="7"/>
      <c r="N137" s="25"/>
      <c r="O137" s="7"/>
      <c r="P137" s="25"/>
    </row>
    <row r="138" spans="2:16" x14ac:dyDescent="0.25">
      <c r="B138" s="7" t="s">
        <v>43</v>
      </c>
      <c r="C138" s="7" t="s">
        <v>51</v>
      </c>
      <c r="D138" s="28">
        <v>1780</v>
      </c>
      <c r="E138" s="28"/>
      <c r="F138" s="28"/>
      <c r="G138" s="28"/>
      <c r="H138" s="28"/>
      <c r="I138" s="28"/>
      <c r="J138" s="25"/>
      <c r="K138" s="25"/>
      <c r="L138" s="25"/>
      <c r="M138" s="7"/>
      <c r="N138" s="25"/>
      <c r="O138" s="7"/>
      <c r="P138" s="25"/>
    </row>
    <row r="139" spans="2:16" x14ac:dyDescent="0.25">
      <c r="B139" s="7" t="s">
        <v>43</v>
      </c>
      <c r="C139" s="7" t="s">
        <v>54</v>
      </c>
      <c r="D139" s="28">
        <v>758</v>
      </c>
      <c r="E139" s="28"/>
      <c r="F139" s="28"/>
      <c r="G139" s="28"/>
      <c r="H139" s="28"/>
      <c r="I139" s="28"/>
      <c r="J139" s="25"/>
      <c r="K139" s="25"/>
      <c r="L139" s="25"/>
      <c r="M139" s="7"/>
      <c r="N139" s="25"/>
      <c r="O139" s="7"/>
      <c r="P139" s="25"/>
    </row>
    <row r="140" spans="2:16" x14ac:dyDescent="0.25">
      <c r="B140" s="7" t="s">
        <v>43</v>
      </c>
      <c r="C140" s="7" t="s">
        <v>52</v>
      </c>
      <c r="D140" s="28">
        <v>2821</v>
      </c>
      <c r="E140" s="28"/>
      <c r="F140" s="28"/>
      <c r="G140" s="28"/>
      <c r="H140" s="28"/>
      <c r="I140" s="28"/>
      <c r="J140" s="25"/>
      <c r="K140" s="25"/>
      <c r="L140" s="25"/>
      <c r="M140" s="7"/>
      <c r="N140" s="25"/>
      <c r="O140" s="7"/>
      <c r="P140" s="25"/>
    </row>
    <row r="141" spans="2:16" x14ac:dyDescent="0.25">
      <c r="B141" s="29" t="s">
        <v>44</v>
      </c>
      <c r="C141" s="29" t="s">
        <v>49</v>
      </c>
      <c r="D141" s="27">
        <f>SUM(D142:D144)</f>
        <v>5215</v>
      </c>
      <c r="E141" s="27">
        <f t="shared" ref="E141:O141" si="42">SUM(E142:E144)</f>
        <v>0</v>
      </c>
      <c r="F141" s="27">
        <f t="shared" si="42"/>
        <v>0</v>
      </c>
      <c r="G141" s="27">
        <f t="shared" si="42"/>
        <v>0</v>
      </c>
      <c r="H141" s="27">
        <f t="shared" si="42"/>
        <v>0</v>
      </c>
      <c r="I141" s="27">
        <f t="shared" si="42"/>
        <v>0</v>
      </c>
      <c r="J141" s="27">
        <f t="shared" si="42"/>
        <v>0</v>
      </c>
      <c r="K141" s="27">
        <f t="shared" si="42"/>
        <v>0</v>
      </c>
      <c r="L141" s="27">
        <f t="shared" si="42"/>
        <v>0</v>
      </c>
      <c r="M141" s="27">
        <f t="shared" si="42"/>
        <v>0</v>
      </c>
      <c r="N141" s="27">
        <f t="shared" si="42"/>
        <v>0</v>
      </c>
      <c r="O141" s="27">
        <f t="shared" si="42"/>
        <v>0</v>
      </c>
      <c r="P141" s="27">
        <f>SUM(P142:P144)</f>
        <v>0</v>
      </c>
    </row>
    <row r="142" spans="2:16" x14ac:dyDescent="0.25">
      <c r="B142" s="7" t="s">
        <v>44</v>
      </c>
      <c r="C142" s="7" t="s">
        <v>50</v>
      </c>
      <c r="D142" s="28">
        <v>4675</v>
      </c>
      <c r="E142" s="28"/>
      <c r="F142" s="28"/>
      <c r="G142" s="28"/>
      <c r="H142" s="28"/>
      <c r="I142" s="28"/>
      <c r="J142" s="25"/>
      <c r="K142" s="25"/>
      <c r="L142" s="25"/>
      <c r="M142" s="7"/>
      <c r="N142" s="25"/>
      <c r="O142" s="7"/>
      <c r="P142" s="25"/>
    </row>
    <row r="143" spans="2:16" x14ac:dyDescent="0.25">
      <c r="B143" s="7" t="s">
        <v>44</v>
      </c>
      <c r="C143" s="7" t="s">
        <v>51</v>
      </c>
      <c r="D143" s="28">
        <v>180</v>
      </c>
      <c r="E143" s="28"/>
      <c r="F143" s="28"/>
      <c r="G143" s="28"/>
      <c r="H143" s="28"/>
      <c r="I143" s="28"/>
      <c r="J143" s="25"/>
      <c r="K143" s="25"/>
      <c r="L143" s="25"/>
      <c r="M143" s="7"/>
      <c r="N143" s="25"/>
      <c r="O143" s="7"/>
      <c r="P143" s="25"/>
    </row>
    <row r="144" spans="2:16" x14ac:dyDescent="0.25">
      <c r="B144" s="7" t="s">
        <v>44</v>
      </c>
      <c r="C144" s="7" t="s">
        <v>52</v>
      </c>
      <c r="D144" s="28">
        <v>360</v>
      </c>
      <c r="E144" s="28"/>
      <c r="F144" s="28"/>
      <c r="G144" s="28"/>
      <c r="H144" s="28"/>
      <c r="I144" s="28"/>
      <c r="J144" s="25"/>
      <c r="K144" s="25"/>
      <c r="L144" s="25"/>
      <c r="M144" s="7"/>
      <c r="N144" s="25"/>
      <c r="O144" s="7"/>
      <c r="P144" s="25"/>
    </row>
    <row r="145" spans="2:16" x14ac:dyDescent="0.25">
      <c r="B145" s="29" t="s">
        <v>45</v>
      </c>
      <c r="C145" s="29" t="s">
        <v>49</v>
      </c>
      <c r="D145" s="27">
        <f>SUM(D146:D150)</f>
        <v>952</v>
      </c>
      <c r="E145" s="27">
        <f t="shared" ref="E145:O145" si="43">SUM(E146:E150)</f>
        <v>0</v>
      </c>
      <c r="F145" s="27">
        <f t="shared" si="43"/>
        <v>0</v>
      </c>
      <c r="G145" s="27">
        <f t="shared" si="43"/>
        <v>0</v>
      </c>
      <c r="H145" s="27">
        <f t="shared" si="43"/>
        <v>0</v>
      </c>
      <c r="I145" s="27">
        <f t="shared" si="43"/>
        <v>0</v>
      </c>
      <c r="J145" s="27">
        <f t="shared" si="43"/>
        <v>0</v>
      </c>
      <c r="K145" s="27">
        <f t="shared" si="43"/>
        <v>0</v>
      </c>
      <c r="L145" s="27">
        <f t="shared" si="43"/>
        <v>0</v>
      </c>
      <c r="M145" s="27">
        <f t="shared" si="43"/>
        <v>0</v>
      </c>
      <c r="N145" s="27">
        <f t="shared" si="43"/>
        <v>0</v>
      </c>
      <c r="O145" s="27">
        <f t="shared" si="43"/>
        <v>0</v>
      </c>
      <c r="P145" s="27">
        <f>SUM(P146:P150)</f>
        <v>0</v>
      </c>
    </row>
    <row r="146" spans="2:16" x14ac:dyDescent="0.25">
      <c r="B146" s="7" t="s">
        <v>45</v>
      </c>
      <c r="C146" s="7" t="s">
        <v>50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25"/>
      <c r="O146" s="7"/>
      <c r="P146" s="25"/>
    </row>
    <row r="147" spans="2:16" x14ac:dyDescent="0.25">
      <c r="B147" s="7" t="s">
        <v>45</v>
      </c>
      <c r="C147" s="7" t="s">
        <v>53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25"/>
      <c r="O147" s="7"/>
      <c r="P147" s="25"/>
    </row>
    <row r="148" spans="2:16" x14ac:dyDescent="0.25">
      <c r="B148" s="7" t="s">
        <v>45</v>
      </c>
      <c r="C148" s="7" t="s">
        <v>51</v>
      </c>
      <c r="D148" s="7">
        <v>181</v>
      </c>
      <c r="E148" s="7"/>
      <c r="F148" s="7"/>
      <c r="G148" s="7"/>
      <c r="H148" s="7"/>
      <c r="I148" s="7"/>
      <c r="J148" s="7"/>
      <c r="K148" s="7"/>
      <c r="L148" s="7"/>
      <c r="M148" s="7"/>
      <c r="N148" s="25"/>
      <c r="O148" s="7"/>
      <c r="P148" s="25"/>
    </row>
    <row r="149" spans="2:16" x14ac:dyDescent="0.25">
      <c r="B149" s="7" t="s">
        <v>45</v>
      </c>
      <c r="C149" s="7" t="s">
        <v>54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25"/>
      <c r="O149" s="7"/>
      <c r="P149" s="25"/>
    </row>
    <row r="150" spans="2:16" x14ac:dyDescent="0.25">
      <c r="B150" s="7" t="s">
        <v>45</v>
      </c>
      <c r="C150" s="7" t="s">
        <v>52</v>
      </c>
      <c r="D150" s="7">
        <v>771</v>
      </c>
      <c r="E150" s="7"/>
      <c r="F150" s="7"/>
      <c r="G150" s="7"/>
      <c r="H150" s="7"/>
      <c r="I150" s="7"/>
      <c r="J150" s="7"/>
      <c r="K150" s="7"/>
      <c r="L150" s="7"/>
      <c r="M150" s="7"/>
      <c r="N150" s="25"/>
      <c r="O150" s="7"/>
      <c r="P150" s="25"/>
    </row>
    <row r="151" spans="2:16" x14ac:dyDescent="0.25">
      <c r="B151" s="29" t="s">
        <v>46</v>
      </c>
      <c r="C151" s="29" t="s">
        <v>49</v>
      </c>
      <c r="D151" s="27">
        <f>SUM(D152:D155)</f>
        <v>4078</v>
      </c>
      <c r="E151" s="27">
        <f t="shared" ref="E151:O151" si="44">SUM(E152:E155)</f>
        <v>0</v>
      </c>
      <c r="F151" s="27">
        <f t="shared" si="44"/>
        <v>0</v>
      </c>
      <c r="G151" s="27">
        <f t="shared" si="44"/>
        <v>0</v>
      </c>
      <c r="H151" s="27">
        <f t="shared" si="44"/>
        <v>0</v>
      </c>
      <c r="I151" s="27">
        <f t="shared" si="44"/>
        <v>0</v>
      </c>
      <c r="J151" s="27">
        <f t="shared" si="44"/>
        <v>0</v>
      </c>
      <c r="K151" s="27">
        <f t="shared" si="44"/>
        <v>0</v>
      </c>
      <c r="L151" s="27">
        <f t="shared" si="44"/>
        <v>0</v>
      </c>
      <c r="M151" s="27">
        <f t="shared" si="44"/>
        <v>0</v>
      </c>
      <c r="N151" s="27">
        <f t="shared" si="44"/>
        <v>0</v>
      </c>
      <c r="O151" s="27">
        <f t="shared" si="44"/>
        <v>0</v>
      </c>
      <c r="P151" s="27">
        <f>SUM(P152:P155)</f>
        <v>0</v>
      </c>
    </row>
    <row r="152" spans="2:16" x14ac:dyDescent="0.25">
      <c r="B152" s="7" t="s">
        <v>46</v>
      </c>
      <c r="C152" s="7" t="s">
        <v>50</v>
      </c>
      <c r="D152" s="7">
        <v>1176</v>
      </c>
      <c r="E152" s="7"/>
      <c r="F152" s="7"/>
      <c r="G152" s="7"/>
      <c r="H152" s="7"/>
      <c r="I152" s="7"/>
      <c r="J152" s="7"/>
      <c r="K152" s="7"/>
      <c r="L152" s="7"/>
      <c r="M152" s="7"/>
      <c r="N152" s="25"/>
      <c r="O152" s="7"/>
      <c r="P152" s="25"/>
    </row>
    <row r="153" spans="2:16" x14ac:dyDescent="0.25">
      <c r="B153" s="7" t="s">
        <v>46</v>
      </c>
      <c r="C153" s="7" t="s">
        <v>53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25"/>
      <c r="O153" s="7"/>
      <c r="P153" s="25"/>
    </row>
    <row r="154" spans="2:16" x14ac:dyDescent="0.25">
      <c r="B154" s="7" t="s">
        <v>46</v>
      </c>
      <c r="C154" s="7" t="s">
        <v>51</v>
      </c>
      <c r="D154" s="7">
        <v>80</v>
      </c>
      <c r="E154" s="7"/>
      <c r="F154" s="7"/>
      <c r="G154" s="7"/>
      <c r="H154" s="7"/>
      <c r="I154" s="7"/>
      <c r="J154" s="7"/>
      <c r="K154" s="7"/>
      <c r="L154" s="7"/>
      <c r="M154" s="7"/>
      <c r="N154" s="25"/>
      <c r="O154" s="7"/>
      <c r="P154" s="25"/>
    </row>
    <row r="155" spans="2:16" x14ac:dyDescent="0.25">
      <c r="B155" s="7" t="s">
        <v>46</v>
      </c>
      <c r="C155" s="7" t="s">
        <v>52</v>
      </c>
      <c r="D155" s="7">
        <v>2822</v>
      </c>
      <c r="E155" s="7"/>
      <c r="F155" s="7"/>
      <c r="G155" s="7"/>
      <c r="H155" s="7"/>
      <c r="I155" s="7"/>
      <c r="J155" s="7"/>
      <c r="K155" s="7"/>
      <c r="L155" s="7"/>
      <c r="M155" s="7"/>
      <c r="N155" s="25"/>
      <c r="O155" s="7"/>
      <c r="P155" s="25"/>
    </row>
    <row r="156" spans="2:16" x14ac:dyDescent="0.25">
      <c r="B156" s="111" t="s">
        <v>47</v>
      </c>
      <c r="C156" s="112"/>
      <c r="D156" s="29">
        <f>SUM(D4+D8+D13+D19+D24+D28+D33+D38+D42+D47+D51+D57+D61+D65+D69+D73+D77+D82+D88+D93+D97+D103+D109+D114+D118+D123+D127+D131+D135+D141+D145+D151)</f>
        <v>284357.46999999997</v>
      </c>
      <c r="E156" s="29">
        <f>SUM(E4+E8+E13+E19+E24+E28+E33+E38+E42+E47+E51+E57+E61+E65+E69+E73+E77+E82+E88+E93+E97+E103+E109+E114+E118+E123+E127+E131+E135+E141+E145+E151)</f>
        <v>0</v>
      </c>
      <c r="F156" s="29">
        <f t="shared" ref="E156:P156" si="45">SUM(F4+F8+F13+F19+F24+F28+F33+F38+F42+F47+F51+F57+F61+F65+F69+F73+F77+F82+F88+F93+F97+F103+F109+F114+F118+F123+F127+F131+F135+F141+F145+F151)</f>
        <v>0</v>
      </c>
      <c r="G156" s="29">
        <f t="shared" si="45"/>
        <v>0</v>
      </c>
      <c r="H156" s="29">
        <f t="shared" si="45"/>
        <v>0</v>
      </c>
      <c r="I156" s="29">
        <f t="shared" si="45"/>
        <v>0</v>
      </c>
      <c r="J156" s="29">
        <f t="shared" si="45"/>
        <v>0</v>
      </c>
      <c r="K156" s="29">
        <f t="shared" si="45"/>
        <v>0</v>
      </c>
      <c r="L156" s="29">
        <f t="shared" si="45"/>
        <v>0</v>
      </c>
      <c r="M156" s="29">
        <f t="shared" si="45"/>
        <v>0</v>
      </c>
      <c r="N156" s="29">
        <f t="shared" si="45"/>
        <v>0</v>
      </c>
      <c r="O156" s="29">
        <f t="shared" si="45"/>
        <v>0</v>
      </c>
      <c r="P156" s="29">
        <f t="shared" si="45"/>
        <v>0</v>
      </c>
    </row>
  </sheetData>
  <autoFilter ref="D1:D156" xr:uid="{F36CAF1A-1DB1-4ABA-B71D-71FA87D059F2}"/>
  <mergeCells count="2">
    <mergeCell ref="B2:P2"/>
    <mergeCell ref="B156:C156"/>
  </mergeCells>
  <printOptions horizontalCentered="1" verticalCentered="1"/>
  <pageMargins left="0.39370078740157483" right="0.39370078740157483" top="0.78740157480314965" bottom="0.78740157480314965" header="0.31496062992125984" footer="0.31496062992125984"/>
  <pageSetup paperSize="9" scale="49" fitToHeight="0" orientation="landscape" r:id="rId1"/>
  <headerFooter>
    <oddHeader>Página &amp;P de &amp;N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3828-63F5-4AB2-AB65-52F04B2891FE}">
  <sheetPr>
    <pageSetUpPr fitToPage="1"/>
  </sheetPr>
  <dimension ref="B2:L5"/>
  <sheetViews>
    <sheetView zoomScale="90" zoomScaleNormal="90" workbookViewId="0">
      <selection activeCell="H18" sqref="H18"/>
    </sheetView>
  </sheetViews>
  <sheetFormatPr defaultRowHeight="15" x14ac:dyDescent="0.25"/>
  <cols>
    <col min="2" max="2" width="31.85546875" bestFit="1" customWidth="1"/>
    <col min="3" max="3" width="19.85546875" bestFit="1" customWidth="1"/>
    <col min="4" max="12" width="22" customWidth="1"/>
  </cols>
  <sheetData>
    <row r="2" spans="2:12" ht="19.5" x14ac:dyDescent="0.3">
      <c r="B2" s="113" t="s">
        <v>60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4" spans="2:12" x14ac:dyDescent="0.25">
      <c r="B4" s="114" t="s">
        <v>79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</row>
    <row r="5" spans="2:12" x14ac:dyDescent="0.25">
      <c r="G5" t="s">
        <v>80</v>
      </c>
    </row>
  </sheetData>
  <mergeCells count="2">
    <mergeCell ref="B2:L2"/>
    <mergeCell ref="B4:L4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151E-AD55-42F3-8967-A9DCF6DC2B04}">
  <dimension ref="B1:P2"/>
  <sheetViews>
    <sheetView zoomScale="90" zoomScaleNormal="90" workbookViewId="0">
      <selection activeCell="B2" sqref="B2:P2"/>
    </sheetView>
  </sheetViews>
  <sheetFormatPr defaultRowHeight="15" x14ac:dyDescent="0.25"/>
  <sheetData>
    <row r="1" spans="2:16" x14ac:dyDescent="0.25">
      <c r="B1" s="6" t="s">
        <v>112</v>
      </c>
    </row>
    <row r="2" spans="2:16" ht="19.5" x14ac:dyDescent="0.3">
      <c r="B2" s="115" t="s">
        <v>76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</sheetData>
  <mergeCells count="1">
    <mergeCell ref="B2:P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365A-6BC1-4011-82AE-4613FDEE7AD3}">
  <sheetPr>
    <pageSetUpPr fitToPage="1"/>
  </sheetPr>
  <dimension ref="B1:P4"/>
  <sheetViews>
    <sheetView zoomScale="90" zoomScaleNormal="90" workbookViewId="0">
      <selection activeCell="L11" sqref="L11"/>
    </sheetView>
  </sheetViews>
  <sheetFormatPr defaultRowHeight="15" x14ac:dyDescent="0.25"/>
  <cols>
    <col min="7" max="7" width="15.7109375" bestFit="1" customWidth="1"/>
  </cols>
  <sheetData>
    <row r="1" spans="2:16" x14ac:dyDescent="0.25">
      <c r="B1" s="6" t="s">
        <v>62</v>
      </c>
    </row>
    <row r="2" spans="2:16" ht="19.5" x14ac:dyDescent="0.3">
      <c r="B2" s="115" t="s">
        <v>77</v>
      </c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  <row r="4" spans="2:16" x14ac:dyDescent="0.25">
      <c r="B4" s="114" t="s">
        <v>78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</row>
  </sheetData>
  <mergeCells count="2">
    <mergeCell ref="B2:P2"/>
    <mergeCell ref="B4:P4"/>
  </mergeCells>
  <pageMargins left="0.511811024" right="0.511811024" top="0.78740157499999996" bottom="0.78740157499999996" header="0.31496062000000002" footer="0.31496062000000002"/>
  <pageSetup paperSize="9" scale="8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7BD7-9DE1-4FCD-87E8-7014C5AFCEBB}">
  <sheetPr>
    <pageSetUpPr fitToPage="1"/>
  </sheetPr>
  <dimension ref="A1:P100"/>
  <sheetViews>
    <sheetView zoomScaleNormal="100" zoomScaleSheetLayoutView="50" workbookViewId="0">
      <selection activeCell="F17" sqref="F17"/>
    </sheetView>
  </sheetViews>
  <sheetFormatPr defaultRowHeight="15" x14ac:dyDescent="0.25"/>
  <cols>
    <col min="1" max="1" width="31.85546875" bestFit="1" customWidth="1"/>
    <col min="2" max="2" width="9.85546875" customWidth="1"/>
    <col min="3" max="3" width="22.5703125" bestFit="1" customWidth="1"/>
    <col min="4" max="4" width="12.5703125" customWidth="1"/>
    <col min="5" max="9" width="11" customWidth="1"/>
    <col min="10" max="12" width="11.28515625" customWidth="1"/>
    <col min="13" max="13" width="12.5703125" customWidth="1"/>
    <col min="14" max="14" width="13.85546875" customWidth="1"/>
    <col min="15" max="15" width="11.28515625" customWidth="1"/>
    <col min="16" max="16" width="12.5703125" bestFit="1" customWidth="1"/>
    <col min="21" max="21" width="12.5703125" bestFit="1" customWidth="1"/>
    <col min="23" max="23" width="25" customWidth="1"/>
  </cols>
  <sheetData>
    <row r="1" spans="1:16" x14ac:dyDescent="0.25">
      <c r="A1" s="6" t="s">
        <v>126</v>
      </c>
      <c r="B1" s="6"/>
    </row>
    <row r="2" spans="1:16" ht="19.5" x14ac:dyDescent="0.3">
      <c r="A2" s="116" t="s">
        <v>63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spans="1:16" x14ac:dyDescent="0.25">
      <c r="A3" s="12" t="s">
        <v>0</v>
      </c>
      <c r="B3" s="12" t="s">
        <v>111</v>
      </c>
      <c r="C3" s="12" t="s">
        <v>1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2</v>
      </c>
    </row>
    <row r="4" spans="1:16" x14ac:dyDescent="0.25">
      <c r="A4" s="88" t="s">
        <v>20</v>
      </c>
      <c r="B4" s="90" t="s">
        <v>89</v>
      </c>
      <c r="C4" s="91" t="s">
        <v>117</v>
      </c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</row>
    <row r="5" spans="1:16" x14ac:dyDescent="0.25">
      <c r="A5" s="35" t="s">
        <v>20</v>
      </c>
      <c r="B5" s="92" t="s">
        <v>89</v>
      </c>
      <c r="C5" s="1" t="s">
        <v>124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99"/>
    </row>
    <row r="6" spans="1:16" x14ac:dyDescent="0.25">
      <c r="A6" s="35" t="s">
        <v>20</v>
      </c>
      <c r="B6" s="92" t="s">
        <v>89</v>
      </c>
      <c r="C6" s="1" t="s">
        <v>125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 x14ac:dyDescent="0.25">
      <c r="A7" s="88" t="s">
        <v>15</v>
      </c>
      <c r="B7" s="90" t="s">
        <v>84</v>
      </c>
      <c r="C7" s="91" t="s">
        <v>117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</row>
    <row r="8" spans="1:16" x14ac:dyDescent="0.25">
      <c r="A8" s="35" t="s">
        <v>15</v>
      </c>
      <c r="B8" s="92" t="s">
        <v>84</v>
      </c>
      <c r="C8" s="1" t="s">
        <v>124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6" x14ac:dyDescent="0.25">
      <c r="A9" s="35" t="s">
        <v>15</v>
      </c>
      <c r="B9" s="92" t="s">
        <v>84</v>
      </c>
      <c r="C9" s="1" t="s">
        <v>125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 x14ac:dyDescent="0.25">
      <c r="A10" s="88" t="s">
        <v>16</v>
      </c>
      <c r="B10" s="90" t="s">
        <v>85</v>
      </c>
      <c r="C10" s="91" t="s">
        <v>117</v>
      </c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</row>
    <row r="11" spans="1:16" x14ac:dyDescent="0.25">
      <c r="A11" s="35" t="s">
        <v>16</v>
      </c>
      <c r="B11" s="92" t="s">
        <v>85</v>
      </c>
      <c r="C11" s="1" t="s">
        <v>124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</row>
    <row r="12" spans="1:16" x14ac:dyDescent="0.25">
      <c r="A12" s="35" t="s">
        <v>16</v>
      </c>
      <c r="B12" s="92" t="s">
        <v>85</v>
      </c>
      <c r="C12" s="1" t="s">
        <v>125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16" x14ac:dyDescent="0.25">
      <c r="A13" s="88" t="s">
        <v>17</v>
      </c>
      <c r="B13" s="90" t="s">
        <v>86</v>
      </c>
      <c r="C13" s="91" t="s">
        <v>117</v>
      </c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</row>
    <row r="14" spans="1:16" x14ac:dyDescent="0.25">
      <c r="A14" s="35" t="s">
        <v>17</v>
      </c>
      <c r="B14" s="92" t="s">
        <v>86</v>
      </c>
      <c r="C14" s="1" t="s">
        <v>124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 x14ac:dyDescent="0.25">
      <c r="A15" s="35" t="s">
        <v>17</v>
      </c>
      <c r="B15" s="92" t="s">
        <v>86</v>
      </c>
      <c r="C15" s="1" t="s">
        <v>125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16" x14ac:dyDescent="0.25">
      <c r="A16" s="88" t="s">
        <v>18</v>
      </c>
      <c r="B16" s="90" t="s">
        <v>87</v>
      </c>
      <c r="C16" s="91" t="s">
        <v>117</v>
      </c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</row>
    <row r="17" spans="1:16" x14ac:dyDescent="0.25">
      <c r="A17" s="35" t="s">
        <v>18</v>
      </c>
      <c r="B17" s="92" t="s">
        <v>87</v>
      </c>
      <c r="C17" s="1" t="s">
        <v>124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 x14ac:dyDescent="0.25">
      <c r="A18" s="35" t="s">
        <v>18</v>
      </c>
      <c r="B18" s="92" t="s">
        <v>87</v>
      </c>
      <c r="C18" s="1" t="s">
        <v>125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 x14ac:dyDescent="0.25">
      <c r="A19" s="88" t="s">
        <v>21</v>
      </c>
      <c r="B19" s="90" t="s">
        <v>81</v>
      </c>
      <c r="C19" s="91" t="s">
        <v>117</v>
      </c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</row>
    <row r="20" spans="1:16" x14ac:dyDescent="0.25">
      <c r="A20" s="35" t="s">
        <v>21</v>
      </c>
      <c r="B20" s="92" t="s">
        <v>81</v>
      </c>
      <c r="C20" s="1" t="s">
        <v>124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 x14ac:dyDescent="0.25">
      <c r="A21" s="35" t="s">
        <v>21</v>
      </c>
      <c r="B21" s="92" t="s">
        <v>81</v>
      </c>
      <c r="C21" s="1" t="s">
        <v>125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 x14ac:dyDescent="0.25">
      <c r="A22" s="88" t="s">
        <v>19</v>
      </c>
      <c r="B22" s="90" t="s">
        <v>88</v>
      </c>
      <c r="C22" s="91" t="s">
        <v>117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</row>
    <row r="23" spans="1:16" x14ac:dyDescent="0.25">
      <c r="A23" s="35" t="s">
        <v>19</v>
      </c>
      <c r="B23" s="92" t="s">
        <v>88</v>
      </c>
      <c r="C23" s="1" t="s">
        <v>124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</row>
    <row r="24" spans="1:16" x14ac:dyDescent="0.25">
      <c r="A24" s="35" t="s">
        <v>19</v>
      </c>
      <c r="B24" s="92" t="s">
        <v>88</v>
      </c>
      <c r="C24" s="1" t="s">
        <v>125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spans="1:16" x14ac:dyDescent="0.25">
      <c r="A25" s="88" t="s">
        <v>22</v>
      </c>
      <c r="B25" s="90" t="s">
        <v>90</v>
      </c>
      <c r="C25" s="91" t="s">
        <v>117</v>
      </c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</row>
    <row r="26" spans="1:16" x14ac:dyDescent="0.25">
      <c r="A26" s="35" t="s">
        <v>22</v>
      </c>
      <c r="B26" s="92" t="s">
        <v>90</v>
      </c>
      <c r="C26" s="1" t="s">
        <v>124</v>
      </c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  <row r="27" spans="1:16" x14ac:dyDescent="0.25">
      <c r="A27" s="35" t="s">
        <v>22</v>
      </c>
      <c r="B27" s="92" t="s">
        <v>90</v>
      </c>
      <c r="C27" s="1" t="s">
        <v>125</v>
      </c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</row>
    <row r="28" spans="1:16" x14ac:dyDescent="0.25">
      <c r="A28" s="88" t="s">
        <v>23</v>
      </c>
      <c r="B28" s="90" t="s">
        <v>120</v>
      </c>
      <c r="C28" s="91" t="s">
        <v>117</v>
      </c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</row>
    <row r="29" spans="1:16" x14ac:dyDescent="0.25">
      <c r="A29" s="35" t="s">
        <v>23</v>
      </c>
      <c r="B29" s="92" t="s">
        <v>120</v>
      </c>
      <c r="C29" s="1" t="s">
        <v>124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</row>
    <row r="30" spans="1:16" x14ac:dyDescent="0.25">
      <c r="A30" s="35" t="s">
        <v>23</v>
      </c>
      <c r="B30" s="92" t="s">
        <v>120</v>
      </c>
      <c r="C30" s="1" t="s">
        <v>125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</row>
    <row r="31" spans="1:16" x14ac:dyDescent="0.25">
      <c r="A31" s="88" t="s">
        <v>24</v>
      </c>
      <c r="B31" s="90" t="s">
        <v>91</v>
      </c>
      <c r="C31" s="91" t="s">
        <v>117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</row>
    <row r="32" spans="1:16" x14ac:dyDescent="0.25">
      <c r="A32" s="35" t="s">
        <v>24</v>
      </c>
      <c r="B32" s="92" t="s">
        <v>91</v>
      </c>
      <c r="C32" s="1" t="s">
        <v>124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</row>
    <row r="33" spans="1:16" x14ac:dyDescent="0.25">
      <c r="A33" s="35" t="s">
        <v>24</v>
      </c>
      <c r="B33" s="92" t="s">
        <v>91</v>
      </c>
      <c r="C33" s="1" t="s">
        <v>125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</row>
    <row r="34" spans="1:16" x14ac:dyDescent="0.25">
      <c r="A34" s="88" t="s">
        <v>25</v>
      </c>
      <c r="B34" s="90" t="s">
        <v>92</v>
      </c>
      <c r="C34" s="91" t="s">
        <v>117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</row>
    <row r="35" spans="1:16" x14ac:dyDescent="0.25">
      <c r="A35" s="35" t="s">
        <v>25</v>
      </c>
      <c r="B35" s="92" t="s">
        <v>92</v>
      </c>
      <c r="C35" s="1" t="s">
        <v>124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</row>
    <row r="36" spans="1:16" x14ac:dyDescent="0.25">
      <c r="A36" s="35" t="s">
        <v>25</v>
      </c>
      <c r="B36" s="92" t="s">
        <v>92</v>
      </c>
      <c r="C36" s="1" t="s">
        <v>125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</row>
    <row r="37" spans="1:16" x14ac:dyDescent="0.25">
      <c r="A37" s="88" t="s">
        <v>27</v>
      </c>
      <c r="B37" s="90" t="s">
        <v>94</v>
      </c>
      <c r="C37" s="91" t="s">
        <v>117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</row>
    <row r="38" spans="1:16" x14ac:dyDescent="0.25">
      <c r="A38" s="35" t="s">
        <v>27</v>
      </c>
      <c r="B38" s="92" t="s">
        <v>94</v>
      </c>
      <c r="C38" s="1" t="s">
        <v>124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</row>
    <row r="39" spans="1:16" x14ac:dyDescent="0.25">
      <c r="A39" s="35" t="s">
        <v>27</v>
      </c>
      <c r="B39" s="92" t="s">
        <v>94</v>
      </c>
      <c r="C39" s="1" t="s">
        <v>125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</row>
    <row r="40" spans="1:16" x14ac:dyDescent="0.25">
      <c r="A40" s="88" t="s">
        <v>26</v>
      </c>
      <c r="B40" s="90" t="s">
        <v>93</v>
      </c>
      <c r="C40" s="91" t="s">
        <v>117</v>
      </c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</row>
    <row r="41" spans="1:16" x14ac:dyDescent="0.25">
      <c r="A41" s="35" t="s">
        <v>26</v>
      </c>
      <c r="B41" s="92" t="s">
        <v>93</v>
      </c>
      <c r="C41" s="1" t="s">
        <v>124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</row>
    <row r="42" spans="1:16" x14ac:dyDescent="0.25">
      <c r="A42" s="35" t="s">
        <v>26</v>
      </c>
      <c r="B42" s="92" t="s">
        <v>93</v>
      </c>
      <c r="C42" s="1" t="s">
        <v>125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</row>
    <row r="43" spans="1:16" x14ac:dyDescent="0.25">
      <c r="A43" s="88" t="s">
        <v>28</v>
      </c>
      <c r="B43" s="90" t="s">
        <v>95</v>
      </c>
      <c r="C43" s="91" t="s">
        <v>117</v>
      </c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</row>
    <row r="44" spans="1:16" x14ac:dyDescent="0.25">
      <c r="A44" s="35" t="s">
        <v>28</v>
      </c>
      <c r="B44" s="92" t="s">
        <v>95</v>
      </c>
      <c r="C44" s="1" t="s">
        <v>124</v>
      </c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spans="1:16" x14ac:dyDescent="0.25">
      <c r="A45" s="35" t="s">
        <v>28</v>
      </c>
      <c r="B45" s="92" t="s">
        <v>95</v>
      </c>
      <c r="C45" s="1" t="s">
        <v>125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16" x14ac:dyDescent="0.25">
      <c r="A46" s="88" t="s">
        <v>29</v>
      </c>
      <c r="B46" s="90" t="s">
        <v>96</v>
      </c>
      <c r="C46" s="91" t="s">
        <v>117</v>
      </c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</row>
    <row r="47" spans="1:16" x14ac:dyDescent="0.25">
      <c r="A47" s="35" t="s">
        <v>29</v>
      </c>
      <c r="B47" s="92" t="s">
        <v>96</v>
      </c>
      <c r="C47" s="1" t="s">
        <v>124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spans="1:16" x14ac:dyDescent="0.25">
      <c r="A48" s="35" t="s">
        <v>29</v>
      </c>
      <c r="B48" s="92" t="s">
        <v>96</v>
      </c>
      <c r="C48" s="1" t="s">
        <v>125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spans="1:16" x14ac:dyDescent="0.25">
      <c r="A49" s="88" t="s">
        <v>30</v>
      </c>
      <c r="B49" s="90" t="s">
        <v>97</v>
      </c>
      <c r="C49" s="91" t="s">
        <v>117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</row>
    <row r="50" spans="1:16" x14ac:dyDescent="0.25">
      <c r="A50" s="35" t="s">
        <v>30</v>
      </c>
      <c r="B50" s="92" t="s">
        <v>97</v>
      </c>
      <c r="C50" s="1" t="s">
        <v>124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</row>
    <row r="51" spans="1:16" x14ac:dyDescent="0.25">
      <c r="A51" s="35" t="s">
        <v>30</v>
      </c>
      <c r="B51" s="92" t="s">
        <v>97</v>
      </c>
      <c r="C51" s="1" t="s">
        <v>125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x14ac:dyDescent="0.25">
      <c r="A52" s="88" t="s">
        <v>31</v>
      </c>
      <c r="B52" s="90" t="s">
        <v>98</v>
      </c>
      <c r="C52" s="91" t="s">
        <v>117</v>
      </c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</row>
    <row r="53" spans="1:16" x14ac:dyDescent="0.25">
      <c r="A53" s="35" t="s">
        <v>31</v>
      </c>
      <c r="B53" s="92" t="s">
        <v>98</v>
      </c>
      <c r="C53" s="1" t="s">
        <v>124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</row>
    <row r="54" spans="1:16" x14ac:dyDescent="0.25">
      <c r="A54" s="35" t="s">
        <v>31</v>
      </c>
      <c r="B54" s="92" t="s">
        <v>98</v>
      </c>
      <c r="C54" s="1" t="s">
        <v>125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x14ac:dyDescent="0.25">
      <c r="A55" s="88" t="s">
        <v>44</v>
      </c>
      <c r="B55" s="90" t="s">
        <v>107</v>
      </c>
      <c r="C55" s="91" t="s">
        <v>117</v>
      </c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</row>
    <row r="56" spans="1:16" x14ac:dyDescent="0.25">
      <c r="A56" s="35" t="s">
        <v>44</v>
      </c>
      <c r="B56" s="92" t="s">
        <v>107</v>
      </c>
      <c r="C56" s="1" t="s">
        <v>124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</row>
    <row r="57" spans="1:16" x14ac:dyDescent="0.25">
      <c r="A57" s="35" t="s">
        <v>44</v>
      </c>
      <c r="B57" s="92" t="s">
        <v>107</v>
      </c>
      <c r="C57" s="1" t="s">
        <v>125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</row>
    <row r="58" spans="1:16" x14ac:dyDescent="0.25">
      <c r="A58" s="88" t="s">
        <v>32</v>
      </c>
      <c r="B58" s="90" t="s">
        <v>82</v>
      </c>
      <c r="C58" s="91" t="s">
        <v>117</v>
      </c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1:16" x14ac:dyDescent="0.25">
      <c r="A59" s="35" t="s">
        <v>32</v>
      </c>
      <c r="B59" s="92" t="s">
        <v>82</v>
      </c>
      <c r="C59" s="1" t="s">
        <v>124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</row>
    <row r="60" spans="1:16" x14ac:dyDescent="0.25">
      <c r="A60" s="35" t="s">
        <v>32</v>
      </c>
      <c r="B60" s="92" t="s">
        <v>82</v>
      </c>
      <c r="C60" s="1" t="s">
        <v>125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</row>
    <row r="61" spans="1:16" x14ac:dyDescent="0.25">
      <c r="A61" s="88" t="s">
        <v>41</v>
      </c>
      <c r="B61" s="90" t="s">
        <v>106</v>
      </c>
      <c r="C61" s="91" t="s">
        <v>117</v>
      </c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</row>
    <row r="62" spans="1:16" x14ac:dyDescent="0.25">
      <c r="A62" s="35" t="s">
        <v>41</v>
      </c>
      <c r="B62" s="92" t="s">
        <v>106</v>
      </c>
      <c r="C62" s="1" t="s">
        <v>124</v>
      </c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</row>
    <row r="63" spans="1:16" x14ac:dyDescent="0.25">
      <c r="A63" s="35" t="s">
        <v>41</v>
      </c>
      <c r="B63" s="92" t="s">
        <v>106</v>
      </c>
      <c r="C63" s="1" t="s">
        <v>125</v>
      </c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</row>
    <row r="64" spans="1:16" x14ac:dyDescent="0.25">
      <c r="A64" s="88" t="s">
        <v>33</v>
      </c>
      <c r="B64" s="90" t="s">
        <v>99</v>
      </c>
      <c r="C64" s="91" t="s">
        <v>117</v>
      </c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</row>
    <row r="65" spans="1:16" x14ac:dyDescent="0.25">
      <c r="A65" s="35" t="s">
        <v>33</v>
      </c>
      <c r="B65" s="92" t="s">
        <v>99</v>
      </c>
      <c r="C65" s="1" t="s">
        <v>124</v>
      </c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x14ac:dyDescent="0.25">
      <c r="A66" s="35" t="s">
        <v>33</v>
      </c>
      <c r="B66" s="92" t="s">
        <v>99</v>
      </c>
      <c r="C66" s="1" t="s">
        <v>125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</row>
    <row r="67" spans="1:16" x14ac:dyDescent="0.25">
      <c r="A67" s="88" t="s">
        <v>34</v>
      </c>
      <c r="B67" s="90" t="s">
        <v>100</v>
      </c>
      <c r="C67" s="91" t="s">
        <v>117</v>
      </c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</row>
    <row r="68" spans="1:16" x14ac:dyDescent="0.25">
      <c r="A68" s="35" t="s">
        <v>34</v>
      </c>
      <c r="B68" s="92" t="s">
        <v>100</v>
      </c>
      <c r="C68" s="1" t="s">
        <v>124</v>
      </c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</row>
    <row r="69" spans="1:16" x14ac:dyDescent="0.25">
      <c r="A69" s="35" t="s">
        <v>34</v>
      </c>
      <c r="B69" s="92" t="s">
        <v>100</v>
      </c>
      <c r="C69" s="1" t="s">
        <v>125</v>
      </c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x14ac:dyDescent="0.25">
      <c r="A70" s="88" t="s">
        <v>36</v>
      </c>
      <c r="B70" s="90" t="s">
        <v>110</v>
      </c>
      <c r="C70" s="91" t="s">
        <v>117</v>
      </c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</row>
    <row r="71" spans="1:16" x14ac:dyDescent="0.25">
      <c r="A71" s="35" t="s">
        <v>36</v>
      </c>
      <c r="B71" s="92" t="s">
        <v>110</v>
      </c>
      <c r="C71" s="1" t="s">
        <v>124</v>
      </c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</row>
    <row r="72" spans="1:16" x14ac:dyDescent="0.25">
      <c r="A72" s="35" t="s">
        <v>36</v>
      </c>
      <c r="B72" s="92" t="s">
        <v>110</v>
      </c>
      <c r="C72" s="1" t="s">
        <v>125</v>
      </c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</row>
    <row r="73" spans="1:16" x14ac:dyDescent="0.25">
      <c r="A73" s="88" t="s">
        <v>37</v>
      </c>
      <c r="B73" s="90" t="s">
        <v>102</v>
      </c>
      <c r="C73" s="91" t="s">
        <v>117</v>
      </c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</row>
    <row r="74" spans="1:16" x14ac:dyDescent="0.25">
      <c r="A74" s="35" t="s">
        <v>37</v>
      </c>
      <c r="B74" s="92" t="s">
        <v>102</v>
      </c>
      <c r="C74" s="1" t="s">
        <v>124</v>
      </c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x14ac:dyDescent="0.25">
      <c r="A75" s="35" t="s">
        <v>37</v>
      </c>
      <c r="B75" s="92" t="s">
        <v>102</v>
      </c>
      <c r="C75" s="1" t="s">
        <v>125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</row>
    <row r="76" spans="1:16" x14ac:dyDescent="0.25">
      <c r="A76" s="88" t="s">
        <v>35</v>
      </c>
      <c r="B76" s="90" t="s">
        <v>101</v>
      </c>
      <c r="C76" s="91" t="s">
        <v>117</v>
      </c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</row>
    <row r="77" spans="1:16" x14ac:dyDescent="0.25">
      <c r="A77" s="35" t="s">
        <v>35</v>
      </c>
      <c r="B77" s="92" t="s">
        <v>101</v>
      </c>
      <c r="C77" s="1" t="s">
        <v>124</v>
      </c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</row>
    <row r="78" spans="1:16" x14ac:dyDescent="0.25">
      <c r="A78" s="35" t="s">
        <v>35</v>
      </c>
      <c r="B78" s="92" t="s">
        <v>101</v>
      </c>
      <c r="C78" s="1" t="s">
        <v>125</v>
      </c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x14ac:dyDescent="0.25">
      <c r="A79" s="88" t="s">
        <v>39</v>
      </c>
      <c r="B79" s="90" t="s">
        <v>104</v>
      </c>
      <c r="C79" s="91" t="s">
        <v>117</v>
      </c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</row>
    <row r="80" spans="1:16" x14ac:dyDescent="0.25">
      <c r="A80" s="35" t="s">
        <v>39</v>
      </c>
      <c r="B80" s="92" t="s">
        <v>104</v>
      </c>
      <c r="C80" s="1" t="s">
        <v>124</v>
      </c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</row>
    <row r="81" spans="1:16" x14ac:dyDescent="0.25">
      <c r="A81" s="35" t="s">
        <v>39</v>
      </c>
      <c r="B81" s="92" t="s">
        <v>104</v>
      </c>
      <c r="C81" s="1" t="s">
        <v>125</v>
      </c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x14ac:dyDescent="0.25">
      <c r="A82" s="88" t="s">
        <v>42</v>
      </c>
      <c r="B82" s="90" t="s">
        <v>121</v>
      </c>
      <c r="C82" s="91" t="s">
        <v>117</v>
      </c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</row>
    <row r="83" spans="1:16" x14ac:dyDescent="0.25">
      <c r="A83" s="35" t="s">
        <v>42</v>
      </c>
      <c r="B83" s="92" t="s">
        <v>121</v>
      </c>
      <c r="C83" s="1" t="s">
        <v>124</v>
      </c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</row>
    <row r="84" spans="1:16" x14ac:dyDescent="0.25">
      <c r="A84" s="35" t="s">
        <v>42</v>
      </c>
      <c r="B84" s="92" t="s">
        <v>121</v>
      </c>
      <c r="C84" s="1" t="s">
        <v>125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</row>
    <row r="85" spans="1:16" x14ac:dyDescent="0.25">
      <c r="A85" s="88" t="s">
        <v>43</v>
      </c>
      <c r="B85" s="90" t="s">
        <v>43</v>
      </c>
      <c r="C85" s="91" t="s">
        <v>117</v>
      </c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</row>
    <row r="86" spans="1:16" x14ac:dyDescent="0.25">
      <c r="A86" s="35" t="s">
        <v>43</v>
      </c>
      <c r="B86" s="92" t="s">
        <v>43</v>
      </c>
      <c r="C86" s="1" t="s">
        <v>124</v>
      </c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</row>
    <row r="87" spans="1:16" x14ac:dyDescent="0.25">
      <c r="A87" s="35" t="s">
        <v>43</v>
      </c>
      <c r="B87" s="92" t="s">
        <v>43</v>
      </c>
      <c r="C87" s="1" t="s">
        <v>125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</row>
    <row r="88" spans="1:16" x14ac:dyDescent="0.25">
      <c r="A88" s="88" t="s">
        <v>40</v>
      </c>
      <c r="B88" s="90" t="s">
        <v>105</v>
      </c>
      <c r="C88" s="91" t="s">
        <v>117</v>
      </c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</row>
    <row r="89" spans="1:16" x14ac:dyDescent="0.25">
      <c r="A89" s="35" t="s">
        <v>40</v>
      </c>
      <c r="B89" s="92" t="s">
        <v>105</v>
      </c>
      <c r="C89" s="1" t="s">
        <v>124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x14ac:dyDescent="0.25">
      <c r="A90" s="35" t="s">
        <v>40</v>
      </c>
      <c r="B90" s="92" t="s">
        <v>105</v>
      </c>
      <c r="C90" s="1" t="s">
        <v>125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</row>
    <row r="91" spans="1:16" x14ac:dyDescent="0.25">
      <c r="A91" s="88" t="s">
        <v>38</v>
      </c>
      <c r="B91" s="90" t="s">
        <v>103</v>
      </c>
      <c r="C91" s="91" t="s">
        <v>117</v>
      </c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spans="1:16" x14ac:dyDescent="0.25">
      <c r="A92" s="35" t="s">
        <v>38</v>
      </c>
      <c r="B92" s="92" t="s">
        <v>103</v>
      </c>
      <c r="C92" s="1" t="s">
        <v>124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x14ac:dyDescent="0.25">
      <c r="A93" s="35" t="s">
        <v>38</v>
      </c>
      <c r="B93" s="92" t="s">
        <v>103</v>
      </c>
      <c r="C93" s="1" t="s">
        <v>125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</row>
    <row r="94" spans="1:16" x14ac:dyDescent="0.25">
      <c r="A94" s="88" t="s">
        <v>45</v>
      </c>
      <c r="B94" s="90" t="s">
        <v>108</v>
      </c>
      <c r="C94" s="91" t="s">
        <v>117</v>
      </c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spans="1:16" x14ac:dyDescent="0.25">
      <c r="A95" s="35" t="s">
        <v>45</v>
      </c>
      <c r="B95" s="92" t="s">
        <v>108</v>
      </c>
      <c r="C95" s="1" t="s">
        <v>124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</row>
    <row r="96" spans="1:16" x14ac:dyDescent="0.25">
      <c r="A96" s="35" t="s">
        <v>45</v>
      </c>
      <c r="B96" s="92" t="s">
        <v>108</v>
      </c>
      <c r="C96" s="1" t="s">
        <v>125</v>
      </c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x14ac:dyDescent="0.25">
      <c r="A97" s="88" t="s">
        <v>46</v>
      </c>
      <c r="B97" s="90" t="s">
        <v>109</v>
      </c>
      <c r="C97" s="91" t="s">
        <v>117</v>
      </c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spans="1:16" x14ac:dyDescent="0.25">
      <c r="A98" s="35" t="s">
        <v>46</v>
      </c>
      <c r="B98" s="92" t="s">
        <v>109</v>
      </c>
      <c r="C98" s="1" t="s">
        <v>124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</row>
    <row r="99" spans="1:16" x14ac:dyDescent="0.25">
      <c r="A99" s="35" t="s">
        <v>46</v>
      </c>
      <c r="B99" s="92" t="s">
        <v>109</v>
      </c>
      <c r="C99" s="1" t="s">
        <v>125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</row>
    <row r="100" spans="1:16" x14ac:dyDescent="0.25">
      <c r="A100" s="117" t="s">
        <v>122</v>
      </c>
      <c r="B100" s="118"/>
      <c r="C100" s="119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</row>
  </sheetData>
  <mergeCells count="2">
    <mergeCell ref="A2:P2"/>
    <mergeCell ref="A100:C100"/>
  </mergeCells>
  <pageMargins left="0.511811024" right="0.511811024" top="0.78740157499999996" bottom="0.78740157499999996" header="0.31496062000000002" footer="0.31496062000000002"/>
  <pageSetup paperSize="9" scale="7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84FA-ABB3-4CBA-95CF-D3DD8201AF7D}">
  <sheetPr>
    <pageSetUpPr fitToPage="1"/>
  </sheetPr>
  <dimension ref="B1:Q36"/>
  <sheetViews>
    <sheetView zoomScale="90" zoomScaleNormal="90" workbookViewId="0">
      <selection activeCell="J20" sqref="J20"/>
    </sheetView>
  </sheetViews>
  <sheetFormatPr defaultRowHeight="15" x14ac:dyDescent="0.25"/>
  <cols>
    <col min="2" max="2" width="59" customWidth="1"/>
    <col min="3" max="3" width="11" customWidth="1"/>
    <col min="4" max="4" width="22.7109375" bestFit="1" customWidth="1"/>
    <col min="5" max="10" width="10.140625" customWidth="1"/>
    <col min="11" max="16" width="11.28515625" customWidth="1"/>
    <col min="17" max="17" width="56.28515625" customWidth="1"/>
  </cols>
  <sheetData>
    <row r="1" spans="2:17" x14ac:dyDescent="0.25">
      <c r="B1" s="6" t="s">
        <v>123</v>
      </c>
      <c r="C1" s="6"/>
    </row>
    <row r="2" spans="2:17" ht="19.5" x14ac:dyDescent="0.3">
      <c r="B2" s="113" t="s">
        <v>74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</row>
    <row r="3" spans="2:17" s="46" customFormat="1" x14ac:dyDescent="0.25">
      <c r="B3" s="47" t="s">
        <v>0</v>
      </c>
      <c r="C3" s="47" t="s">
        <v>115</v>
      </c>
      <c r="D3" s="47" t="s">
        <v>1</v>
      </c>
      <c r="E3" s="47" t="s">
        <v>3</v>
      </c>
      <c r="F3" s="47" t="s">
        <v>4</v>
      </c>
      <c r="G3" s="47" t="s">
        <v>5</v>
      </c>
      <c r="H3" s="47" t="s">
        <v>6</v>
      </c>
      <c r="I3" s="47" t="s">
        <v>7</v>
      </c>
      <c r="J3" s="47" t="s">
        <v>8</v>
      </c>
      <c r="K3" s="47" t="s">
        <v>9</v>
      </c>
      <c r="L3" s="47" t="s">
        <v>10</v>
      </c>
      <c r="M3" s="47" t="s">
        <v>11</v>
      </c>
      <c r="N3" s="47" t="s">
        <v>12</v>
      </c>
      <c r="O3" s="47" t="s">
        <v>13</v>
      </c>
      <c r="P3" s="47" t="s">
        <v>14</v>
      </c>
      <c r="Q3" s="48" t="s">
        <v>2</v>
      </c>
    </row>
    <row r="4" spans="2:17" x14ac:dyDescent="0.25">
      <c r="B4" s="93" t="s">
        <v>20</v>
      </c>
      <c r="C4" s="39" t="s">
        <v>89</v>
      </c>
      <c r="D4" s="40" t="s">
        <v>117</v>
      </c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4"/>
    </row>
    <row r="5" spans="2:17" x14ac:dyDescent="0.25">
      <c r="B5" s="76" t="s">
        <v>15</v>
      </c>
      <c r="C5" s="36" t="s">
        <v>84</v>
      </c>
      <c r="D5" s="37" t="s">
        <v>117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95"/>
    </row>
    <row r="6" spans="2:17" x14ac:dyDescent="0.25">
      <c r="B6" s="93" t="s">
        <v>16</v>
      </c>
      <c r="C6" s="39" t="s">
        <v>85</v>
      </c>
      <c r="D6" s="40" t="s">
        <v>117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4"/>
    </row>
    <row r="7" spans="2:17" x14ac:dyDescent="0.25">
      <c r="B7" s="76" t="s">
        <v>17</v>
      </c>
      <c r="C7" s="36" t="s">
        <v>86</v>
      </c>
      <c r="D7" s="37" t="s">
        <v>117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95"/>
    </row>
    <row r="8" spans="2:17" x14ac:dyDescent="0.25">
      <c r="B8" s="93" t="s">
        <v>18</v>
      </c>
      <c r="C8" s="39" t="s">
        <v>87</v>
      </c>
      <c r="D8" s="40" t="s">
        <v>117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4"/>
    </row>
    <row r="9" spans="2:17" x14ac:dyDescent="0.25">
      <c r="B9" s="76" t="s">
        <v>21</v>
      </c>
      <c r="C9" s="36" t="s">
        <v>81</v>
      </c>
      <c r="D9" s="37" t="s">
        <v>117</v>
      </c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95"/>
    </row>
    <row r="10" spans="2:17" x14ac:dyDescent="0.25">
      <c r="B10" s="93" t="s">
        <v>19</v>
      </c>
      <c r="C10" s="39" t="s">
        <v>88</v>
      </c>
      <c r="D10" s="40" t="s">
        <v>117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4"/>
    </row>
    <row r="11" spans="2:17" x14ac:dyDescent="0.25">
      <c r="B11" s="76" t="s">
        <v>22</v>
      </c>
      <c r="C11" s="36" t="s">
        <v>90</v>
      </c>
      <c r="D11" s="37" t="s">
        <v>117</v>
      </c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95"/>
    </row>
    <row r="12" spans="2:17" x14ac:dyDescent="0.25">
      <c r="B12" s="93" t="s">
        <v>23</v>
      </c>
      <c r="C12" s="39" t="s">
        <v>120</v>
      </c>
      <c r="D12" s="40" t="s">
        <v>117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4"/>
    </row>
    <row r="13" spans="2:17" x14ac:dyDescent="0.25">
      <c r="B13" s="76" t="s">
        <v>24</v>
      </c>
      <c r="C13" s="36" t="s">
        <v>91</v>
      </c>
      <c r="D13" s="37" t="s">
        <v>117</v>
      </c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95"/>
    </row>
    <row r="14" spans="2:17" x14ac:dyDescent="0.25">
      <c r="B14" s="93" t="s">
        <v>25</v>
      </c>
      <c r="C14" s="39" t="s">
        <v>92</v>
      </c>
      <c r="D14" s="40" t="s">
        <v>117</v>
      </c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4"/>
    </row>
    <row r="15" spans="2:17" x14ac:dyDescent="0.25">
      <c r="B15" s="76" t="s">
        <v>27</v>
      </c>
      <c r="C15" s="36" t="s">
        <v>94</v>
      </c>
      <c r="D15" s="37" t="s">
        <v>117</v>
      </c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95"/>
    </row>
    <row r="16" spans="2:17" x14ac:dyDescent="0.25">
      <c r="B16" s="93" t="s">
        <v>26</v>
      </c>
      <c r="C16" s="39" t="s">
        <v>93</v>
      </c>
      <c r="D16" s="40" t="s">
        <v>117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4"/>
    </row>
    <row r="17" spans="2:17" x14ac:dyDescent="0.25">
      <c r="B17" s="76" t="s">
        <v>28</v>
      </c>
      <c r="C17" s="36" t="s">
        <v>95</v>
      </c>
      <c r="D17" s="37" t="s">
        <v>117</v>
      </c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95"/>
    </row>
    <row r="18" spans="2:17" x14ac:dyDescent="0.25">
      <c r="B18" s="93" t="s">
        <v>29</v>
      </c>
      <c r="C18" s="39" t="s">
        <v>96</v>
      </c>
      <c r="D18" s="40" t="s">
        <v>117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4"/>
    </row>
    <row r="19" spans="2:17" x14ac:dyDescent="0.25">
      <c r="B19" s="76" t="s">
        <v>30</v>
      </c>
      <c r="C19" s="36" t="s">
        <v>97</v>
      </c>
      <c r="D19" s="37" t="s">
        <v>117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95"/>
    </row>
    <row r="20" spans="2:17" x14ac:dyDescent="0.25">
      <c r="B20" s="93" t="s">
        <v>31</v>
      </c>
      <c r="C20" s="39" t="s">
        <v>98</v>
      </c>
      <c r="D20" s="40" t="s">
        <v>117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4"/>
    </row>
    <row r="21" spans="2:17" x14ac:dyDescent="0.25">
      <c r="B21" s="76" t="s">
        <v>44</v>
      </c>
      <c r="C21" s="36" t="s">
        <v>107</v>
      </c>
      <c r="D21" s="37" t="s">
        <v>117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95"/>
    </row>
    <row r="22" spans="2:17" x14ac:dyDescent="0.25">
      <c r="B22" s="93" t="s">
        <v>32</v>
      </c>
      <c r="C22" s="39" t="s">
        <v>82</v>
      </c>
      <c r="D22" s="40" t="s">
        <v>117</v>
      </c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4"/>
    </row>
    <row r="23" spans="2:17" x14ac:dyDescent="0.25">
      <c r="B23" s="76" t="s">
        <v>41</v>
      </c>
      <c r="C23" s="36" t="s">
        <v>106</v>
      </c>
      <c r="D23" s="37" t="s">
        <v>117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95"/>
    </row>
    <row r="24" spans="2:17" x14ac:dyDescent="0.25">
      <c r="B24" s="93" t="s">
        <v>33</v>
      </c>
      <c r="C24" s="39" t="s">
        <v>99</v>
      </c>
      <c r="D24" s="40" t="s">
        <v>117</v>
      </c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4"/>
    </row>
    <row r="25" spans="2:17" x14ac:dyDescent="0.25">
      <c r="B25" s="76" t="s">
        <v>34</v>
      </c>
      <c r="C25" s="36" t="s">
        <v>100</v>
      </c>
      <c r="D25" s="37" t="s">
        <v>117</v>
      </c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95"/>
    </row>
    <row r="26" spans="2:17" x14ac:dyDescent="0.25">
      <c r="B26" s="93" t="s">
        <v>36</v>
      </c>
      <c r="C26" s="39" t="s">
        <v>110</v>
      </c>
      <c r="D26" s="40" t="s">
        <v>117</v>
      </c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4"/>
    </row>
    <row r="27" spans="2:17" x14ac:dyDescent="0.25">
      <c r="B27" s="76" t="s">
        <v>37</v>
      </c>
      <c r="C27" s="36" t="s">
        <v>102</v>
      </c>
      <c r="D27" s="37" t="s">
        <v>117</v>
      </c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95"/>
    </row>
    <row r="28" spans="2:17" x14ac:dyDescent="0.25">
      <c r="B28" s="93" t="s">
        <v>35</v>
      </c>
      <c r="C28" s="39" t="s">
        <v>101</v>
      </c>
      <c r="D28" s="40" t="s">
        <v>117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4"/>
    </row>
    <row r="29" spans="2:17" x14ac:dyDescent="0.25">
      <c r="B29" s="76" t="s">
        <v>39</v>
      </c>
      <c r="C29" s="36" t="s">
        <v>104</v>
      </c>
      <c r="D29" s="37" t="s">
        <v>117</v>
      </c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95"/>
    </row>
    <row r="30" spans="2:17" x14ac:dyDescent="0.25">
      <c r="B30" s="93" t="s">
        <v>42</v>
      </c>
      <c r="C30" s="39" t="s">
        <v>121</v>
      </c>
      <c r="D30" s="40" t="s">
        <v>117</v>
      </c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4"/>
    </row>
    <row r="31" spans="2:17" x14ac:dyDescent="0.25">
      <c r="B31" s="76" t="s">
        <v>43</v>
      </c>
      <c r="C31" s="36" t="s">
        <v>43</v>
      </c>
      <c r="D31" s="37" t="s">
        <v>117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95"/>
    </row>
    <row r="32" spans="2:17" x14ac:dyDescent="0.25">
      <c r="B32" s="93" t="s">
        <v>40</v>
      </c>
      <c r="C32" s="39" t="s">
        <v>105</v>
      </c>
      <c r="D32" s="40" t="s">
        <v>117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4"/>
    </row>
    <row r="33" spans="2:17" x14ac:dyDescent="0.25">
      <c r="B33" s="76" t="s">
        <v>38</v>
      </c>
      <c r="C33" s="36" t="s">
        <v>103</v>
      </c>
      <c r="D33" s="37" t="s">
        <v>117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95"/>
    </row>
    <row r="34" spans="2:17" x14ac:dyDescent="0.25">
      <c r="B34" s="93" t="s">
        <v>45</v>
      </c>
      <c r="C34" s="39" t="s">
        <v>108</v>
      </c>
      <c r="D34" s="40" t="s">
        <v>117</v>
      </c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4"/>
    </row>
    <row r="35" spans="2:17" x14ac:dyDescent="0.25">
      <c r="B35" s="96" t="s">
        <v>46</v>
      </c>
      <c r="C35" s="97" t="s">
        <v>109</v>
      </c>
      <c r="D35" s="98" t="s">
        <v>117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35"/>
    </row>
    <row r="36" spans="2:17" x14ac:dyDescent="0.25">
      <c r="B36" s="117" t="s">
        <v>122</v>
      </c>
      <c r="C36" s="118"/>
      <c r="D36" s="119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</row>
  </sheetData>
  <mergeCells count="2">
    <mergeCell ref="B2:Q2"/>
    <mergeCell ref="B36:D36"/>
  </mergeCells>
  <pageMargins left="0.511811024" right="0.511811024" top="0.78740157499999996" bottom="0.78740157499999996" header="0.31496062000000002" footer="0.31496062000000002"/>
  <pageSetup paperSize="9" scale="6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378E-90DB-46FC-8513-0CF673857041}">
  <sheetPr>
    <pageSetUpPr fitToPage="1"/>
  </sheetPr>
  <dimension ref="B1:Q100"/>
  <sheetViews>
    <sheetView zoomScaleNormal="100" workbookViewId="0">
      <selection activeCell="L14" sqref="L14"/>
    </sheetView>
  </sheetViews>
  <sheetFormatPr defaultRowHeight="15" x14ac:dyDescent="0.25"/>
  <cols>
    <col min="2" max="2" width="72.140625" bestFit="1" customWidth="1"/>
    <col min="3" max="3" width="11" customWidth="1"/>
    <col min="4" max="4" width="22.5703125" bestFit="1" customWidth="1"/>
    <col min="5" max="10" width="11" customWidth="1"/>
    <col min="11" max="17" width="12.140625" customWidth="1"/>
  </cols>
  <sheetData>
    <row r="1" spans="2:17" x14ac:dyDescent="0.25">
      <c r="B1" s="6" t="s">
        <v>113</v>
      </c>
      <c r="C1" s="6"/>
    </row>
    <row r="2" spans="2:17" ht="19.5" x14ac:dyDescent="0.3">
      <c r="B2" s="120" t="s">
        <v>75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2"/>
    </row>
    <row r="3" spans="2:17" ht="15.75" x14ac:dyDescent="0.25">
      <c r="B3" s="49" t="s">
        <v>0</v>
      </c>
      <c r="C3" s="49" t="s">
        <v>111</v>
      </c>
      <c r="D3" s="49" t="s">
        <v>1</v>
      </c>
      <c r="E3" s="49" t="s">
        <v>3</v>
      </c>
      <c r="F3" s="49" t="s">
        <v>4</v>
      </c>
      <c r="G3" s="49" t="s">
        <v>5</v>
      </c>
      <c r="H3" s="49" t="s">
        <v>6</v>
      </c>
      <c r="I3" s="49" t="s">
        <v>7</v>
      </c>
      <c r="J3" s="49" t="s">
        <v>8</v>
      </c>
      <c r="K3" s="49" t="s">
        <v>9</v>
      </c>
      <c r="L3" s="49" t="s">
        <v>10</v>
      </c>
      <c r="M3" s="49" t="s">
        <v>11</v>
      </c>
      <c r="N3" s="49" t="s">
        <v>12</v>
      </c>
      <c r="O3" s="49" t="s">
        <v>13</v>
      </c>
      <c r="P3" s="49" t="s">
        <v>14</v>
      </c>
      <c r="Q3" s="50" t="s">
        <v>2</v>
      </c>
    </row>
    <row r="4" spans="2:17" x14ac:dyDescent="0.25">
      <c r="B4" s="80" t="s">
        <v>20</v>
      </c>
      <c r="C4" s="81" t="s">
        <v>89</v>
      </c>
      <c r="D4" s="82" t="s">
        <v>117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4"/>
    </row>
    <row r="5" spans="2:17" x14ac:dyDescent="0.25">
      <c r="B5" s="76" t="s">
        <v>20</v>
      </c>
      <c r="C5" s="36" t="s">
        <v>89</v>
      </c>
      <c r="D5" s="37" t="s">
        <v>119</v>
      </c>
      <c r="E5" s="77"/>
      <c r="F5" s="77"/>
      <c r="G5" s="77"/>
      <c r="H5" s="77"/>
      <c r="I5" s="77"/>
      <c r="J5" s="77"/>
      <c r="K5" s="77"/>
      <c r="L5" s="77"/>
      <c r="M5" s="77"/>
      <c r="N5" s="78"/>
      <c r="O5" s="76"/>
      <c r="P5" s="78"/>
      <c r="Q5" s="38"/>
    </row>
    <row r="6" spans="2:17" x14ac:dyDescent="0.25">
      <c r="B6" s="76" t="s">
        <v>20</v>
      </c>
      <c r="C6" s="36" t="s">
        <v>89</v>
      </c>
      <c r="D6" s="37" t="s">
        <v>118</v>
      </c>
      <c r="E6" s="77"/>
      <c r="F6" s="77"/>
      <c r="G6" s="77"/>
      <c r="H6" s="77"/>
      <c r="I6" s="77"/>
      <c r="J6" s="77"/>
      <c r="K6" s="77"/>
      <c r="L6" s="77"/>
      <c r="M6" s="77"/>
      <c r="N6" s="78"/>
      <c r="O6" s="76"/>
      <c r="P6" s="78"/>
      <c r="Q6" s="38"/>
    </row>
    <row r="7" spans="2:17" x14ac:dyDescent="0.25">
      <c r="B7" s="80" t="s">
        <v>15</v>
      </c>
      <c r="C7" s="81" t="s">
        <v>84</v>
      </c>
      <c r="D7" s="82" t="s">
        <v>117</v>
      </c>
      <c r="E7" s="86"/>
      <c r="F7" s="83"/>
      <c r="G7" s="83"/>
      <c r="H7" s="83"/>
      <c r="I7" s="83"/>
      <c r="J7" s="83"/>
      <c r="K7" s="83"/>
      <c r="L7" s="83"/>
      <c r="M7" s="83"/>
      <c r="N7" s="85"/>
      <c r="O7" s="80"/>
      <c r="P7" s="85"/>
      <c r="Q7" s="84"/>
    </row>
    <row r="8" spans="2:17" x14ac:dyDescent="0.25">
      <c r="B8" s="76" t="s">
        <v>15</v>
      </c>
      <c r="C8" s="36" t="s">
        <v>84</v>
      </c>
      <c r="D8" s="1" t="s">
        <v>119</v>
      </c>
      <c r="F8" s="77"/>
      <c r="G8" s="77"/>
      <c r="H8" s="77"/>
      <c r="I8" s="77"/>
      <c r="J8" s="77"/>
      <c r="K8" s="77"/>
      <c r="L8" s="77"/>
      <c r="M8" s="77"/>
      <c r="N8" s="78"/>
      <c r="O8" s="76"/>
      <c r="P8" s="78"/>
      <c r="Q8" s="38"/>
    </row>
    <row r="9" spans="2:17" x14ac:dyDescent="0.25">
      <c r="B9" s="76" t="s">
        <v>15</v>
      </c>
      <c r="C9" s="36" t="s">
        <v>84</v>
      </c>
      <c r="D9" s="37" t="s">
        <v>118</v>
      </c>
      <c r="E9" s="77"/>
      <c r="F9" s="77"/>
      <c r="G9" s="77"/>
      <c r="H9" s="77"/>
      <c r="I9" s="77"/>
      <c r="J9" s="77"/>
      <c r="K9" s="77"/>
      <c r="L9" s="77"/>
      <c r="M9" s="77"/>
      <c r="N9" s="78"/>
      <c r="O9" s="76"/>
      <c r="P9" s="78"/>
      <c r="Q9" s="38"/>
    </row>
    <row r="10" spans="2:17" x14ac:dyDescent="0.25">
      <c r="B10" s="80" t="s">
        <v>16</v>
      </c>
      <c r="C10" s="81" t="s">
        <v>85</v>
      </c>
      <c r="D10" s="82" t="s">
        <v>117</v>
      </c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0"/>
      <c r="P10" s="85"/>
      <c r="Q10" s="84"/>
    </row>
    <row r="11" spans="2:17" x14ac:dyDescent="0.25">
      <c r="B11" s="76" t="s">
        <v>16</v>
      </c>
      <c r="C11" s="36" t="s">
        <v>85</v>
      </c>
      <c r="D11" s="37" t="s">
        <v>119</v>
      </c>
      <c r="E11" s="77"/>
      <c r="F11" s="77"/>
      <c r="G11" s="77"/>
      <c r="H11" s="77"/>
      <c r="I11" s="77"/>
      <c r="J11" s="77"/>
      <c r="K11" s="77"/>
      <c r="L11" s="77"/>
      <c r="M11" s="77"/>
      <c r="N11" s="78"/>
      <c r="O11" s="76"/>
      <c r="P11" s="78"/>
      <c r="Q11" s="38"/>
    </row>
    <row r="12" spans="2:17" x14ac:dyDescent="0.25">
      <c r="B12" s="76" t="s">
        <v>16</v>
      </c>
      <c r="C12" s="36" t="s">
        <v>85</v>
      </c>
      <c r="D12" s="37" t="s">
        <v>118</v>
      </c>
      <c r="E12" s="77"/>
      <c r="F12" s="77"/>
      <c r="G12" s="77"/>
      <c r="H12" s="77"/>
      <c r="I12" s="77"/>
      <c r="J12" s="77"/>
      <c r="K12" s="77"/>
      <c r="L12" s="77"/>
      <c r="M12" s="77"/>
      <c r="N12" s="78"/>
      <c r="O12" s="76"/>
      <c r="P12" s="78"/>
      <c r="Q12" s="38"/>
    </row>
    <row r="13" spans="2:17" x14ac:dyDescent="0.25">
      <c r="B13" s="80" t="s">
        <v>17</v>
      </c>
      <c r="C13" s="81" t="s">
        <v>86</v>
      </c>
      <c r="D13" s="82" t="s">
        <v>117</v>
      </c>
      <c r="E13" s="86"/>
      <c r="F13" s="86"/>
      <c r="G13" s="86"/>
      <c r="H13" s="86"/>
      <c r="I13" s="86"/>
      <c r="J13" s="86"/>
      <c r="K13" s="86"/>
      <c r="L13" s="86"/>
      <c r="M13" s="86"/>
      <c r="N13" s="87"/>
      <c r="O13" s="88"/>
      <c r="P13" s="87"/>
      <c r="Q13" s="89"/>
    </row>
    <row r="14" spans="2:17" x14ac:dyDescent="0.25">
      <c r="B14" s="76" t="s">
        <v>17</v>
      </c>
      <c r="C14" s="36" t="s">
        <v>86</v>
      </c>
      <c r="D14" s="37" t="s">
        <v>119</v>
      </c>
      <c r="E14" s="77"/>
      <c r="F14" s="77"/>
      <c r="G14" s="77"/>
      <c r="H14" s="77"/>
      <c r="I14" s="77"/>
      <c r="J14" s="77"/>
      <c r="K14" s="77"/>
      <c r="L14" s="77"/>
      <c r="M14" s="77"/>
      <c r="N14" s="78"/>
      <c r="O14" s="76"/>
      <c r="P14" s="78"/>
      <c r="Q14" s="38"/>
    </row>
    <row r="15" spans="2:17" x14ac:dyDescent="0.25">
      <c r="B15" s="76" t="s">
        <v>17</v>
      </c>
      <c r="C15" s="36" t="s">
        <v>86</v>
      </c>
      <c r="D15" s="37" t="s">
        <v>118</v>
      </c>
      <c r="E15" s="77"/>
      <c r="F15" s="77"/>
      <c r="G15" s="77"/>
      <c r="H15" s="77"/>
      <c r="I15" s="77"/>
      <c r="J15" s="77"/>
      <c r="K15" s="77"/>
      <c r="L15" s="77"/>
      <c r="M15" s="77"/>
      <c r="N15" s="78"/>
      <c r="O15" s="76"/>
      <c r="P15" s="78"/>
      <c r="Q15" s="38"/>
    </row>
    <row r="16" spans="2:17" x14ac:dyDescent="0.25">
      <c r="B16" s="80" t="s">
        <v>18</v>
      </c>
      <c r="C16" s="81" t="s">
        <v>87</v>
      </c>
      <c r="D16" s="82" t="s">
        <v>117</v>
      </c>
      <c r="E16" s="86"/>
      <c r="F16" s="86"/>
      <c r="G16" s="86"/>
      <c r="H16" s="86"/>
      <c r="I16" s="86"/>
      <c r="J16" s="86"/>
      <c r="K16" s="86"/>
      <c r="L16" s="86"/>
      <c r="M16" s="86"/>
      <c r="N16" s="87"/>
      <c r="O16" s="88"/>
      <c r="P16" s="87"/>
      <c r="Q16" s="89"/>
    </row>
    <row r="17" spans="2:17" x14ac:dyDescent="0.25">
      <c r="B17" s="76" t="s">
        <v>18</v>
      </c>
      <c r="C17" s="36" t="s">
        <v>87</v>
      </c>
      <c r="D17" s="37" t="s">
        <v>119</v>
      </c>
      <c r="E17" s="77"/>
      <c r="F17" s="77"/>
      <c r="G17" s="77"/>
      <c r="H17" s="77"/>
      <c r="I17" s="77"/>
      <c r="J17" s="77"/>
      <c r="K17" s="77"/>
      <c r="L17" s="77"/>
      <c r="M17" s="77"/>
      <c r="N17" s="78"/>
      <c r="O17" s="76"/>
      <c r="P17" s="78"/>
      <c r="Q17" s="38"/>
    </row>
    <row r="18" spans="2:17" x14ac:dyDescent="0.25">
      <c r="B18" s="76" t="s">
        <v>18</v>
      </c>
      <c r="C18" s="36" t="s">
        <v>87</v>
      </c>
      <c r="D18" s="37" t="s">
        <v>118</v>
      </c>
      <c r="E18" s="77"/>
      <c r="F18" s="77"/>
      <c r="G18" s="77"/>
      <c r="H18" s="77"/>
      <c r="I18" s="77"/>
      <c r="J18" s="77"/>
      <c r="K18" s="77"/>
      <c r="L18" s="77"/>
      <c r="M18" s="77"/>
      <c r="N18" s="78"/>
      <c r="O18" s="76"/>
      <c r="P18" s="78"/>
      <c r="Q18" s="38"/>
    </row>
    <row r="19" spans="2:17" x14ac:dyDescent="0.25">
      <c r="B19" s="80" t="s">
        <v>21</v>
      </c>
      <c r="C19" s="81" t="s">
        <v>81</v>
      </c>
      <c r="D19" s="82" t="s">
        <v>117</v>
      </c>
      <c r="E19" s="86"/>
      <c r="F19" s="86"/>
      <c r="G19" s="86"/>
      <c r="H19" s="86"/>
      <c r="I19" s="86"/>
      <c r="J19" s="86"/>
      <c r="K19" s="86"/>
      <c r="L19" s="86"/>
      <c r="M19" s="86"/>
      <c r="N19" s="87"/>
      <c r="O19" s="88"/>
      <c r="P19" s="87"/>
      <c r="Q19" s="89"/>
    </row>
    <row r="20" spans="2:17" x14ac:dyDescent="0.25">
      <c r="B20" s="76" t="s">
        <v>21</v>
      </c>
      <c r="C20" s="36" t="s">
        <v>81</v>
      </c>
      <c r="D20" s="37" t="s">
        <v>119</v>
      </c>
      <c r="E20" s="77"/>
      <c r="F20" s="77"/>
      <c r="G20" s="77"/>
      <c r="H20" s="77"/>
      <c r="I20" s="77"/>
      <c r="J20" s="77"/>
      <c r="K20" s="77"/>
      <c r="L20" s="77"/>
      <c r="M20" s="77"/>
      <c r="N20" s="78"/>
      <c r="O20" s="76"/>
      <c r="P20" s="78"/>
      <c r="Q20" s="38"/>
    </row>
    <row r="21" spans="2:17" x14ac:dyDescent="0.25">
      <c r="B21" s="76" t="s">
        <v>21</v>
      </c>
      <c r="C21" s="36" t="s">
        <v>81</v>
      </c>
      <c r="D21" s="37" t="s">
        <v>118</v>
      </c>
      <c r="E21" s="77"/>
      <c r="F21" s="77"/>
      <c r="G21" s="77"/>
      <c r="H21" s="77"/>
      <c r="I21" s="77"/>
      <c r="J21" s="77"/>
      <c r="K21" s="77"/>
      <c r="L21" s="77"/>
      <c r="M21" s="77"/>
      <c r="N21" s="78"/>
      <c r="O21" s="76"/>
      <c r="P21" s="78"/>
      <c r="Q21" s="38"/>
    </row>
    <row r="22" spans="2:17" x14ac:dyDescent="0.25">
      <c r="B22" s="80" t="s">
        <v>19</v>
      </c>
      <c r="C22" s="81" t="s">
        <v>88</v>
      </c>
      <c r="D22" s="82" t="s">
        <v>117</v>
      </c>
      <c r="E22" s="86"/>
      <c r="F22" s="86"/>
      <c r="G22" s="86"/>
      <c r="H22" s="86"/>
      <c r="I22" s="86"/>
      <c r="J22" s="86"/>
      <c r="K22" s="86"/>
      <c r="L22" s="86"/>
      <c r="M22" s="86"/>
      <c r="N22" s="87"/>
      <c r="O22" s="88"/>
      <c r="P22" s="87"/>
      <c r="Q22" s="89"/>
    </row>
    <row r="23" spans="2:17" x14ac:dyDescent="0.25">
      <c r="B23" s="76" t="s">
        <v>19</v>
      </c>
      <c r="C23" s="36" t="s">
        <v>88</v>
      </c>
      <c r="D23" s="37" t="s">
        <v>119</v>
      </c>
      <c r="E23" s="77"/>
      <c r="F23" s="77"/>
      <c r="G23" s="77"/>
      <c r="H23" s="77"/>
      <c r="I23" s="77"/>
      <c r="J23" s="77"/>
      <c r="K23" s="77"/>
      <c r="L23" s="77"/>
      <c r="M23" s="77"/>
      <c r="N23" s="78"/>
      <c r="O23" s="76"/>
      <c r="P23" s="78"/>
      <c r="Q23" s="38"/>
    </row>
    <row r="24" spans="2:17" x14ac:dyDescent="0.25">
      <c r="B24" s="76" t="s">
        <v>19</v>
      </c>
      <c r="C24" s="36" t="s">
        <v>88</v>
      </c>
      <c r="D24" s="37" t="s">
        <v>118</v>
      </c>
      <c r="E24" s="77"/>
      <c r="F24" s="77"/>
      <c r="G24" s="77"/>
      <c r="H24" s="77"/>
      <c r="I24" s="77"/>
      <c r="J24" s="77"/>
      <c r="K24" s="77"/>
      <c r="L24" s="77"/>
      <c r="M24" s="77"/>
      <c r="N24" s="78"/>
      <c r="O24" s="76"/>
      <c r="P24" s="78"/>
      <c r="Q24" s="38"/>
    </row>
    <row r="25" spans="2:17" x14ac:dyDescent="0.25">
      <c r="B25" s="80" t="s">
        <v>22</v>
      </c>
      <c r="C25" s="81" t="s">
        <v>90</v>
      </c>
      <c r="D25" s="82" t="s">
        <v>117</v>
      </c>
      <c r="E25" s="86"/>
      <c r="F25" s="86"/>
      <c r="G25" s="86"/>
      <c r="H25" s="86"/>
      <c r="I25" s="86"/>
      <c r="J25" s="86"/>
      <c r="K25" s="86"/>
      <c r="L25" s="86"/>
      <c r="M25" s="86"/>
      <c r="N25" s="87"/>
      <c r="O25" s="88"/>
      <c r="P25" s="87"/>
      <c r="Q25" s="89"/>
    </row>
    <row r="26" spans="2:17" x14ac:dyDescent="0.25">
      <c r="B26" s="76" t="s">
        <v>22</v>
      </c>
      <c r="C26" s="36" t="s">
        <v>90</v>
      </c>
      <c r="D26" s="37" t="s">
        <v>119</v>
      </c>
      <c r="E26" s="77"/>
      <c r="F26" s="77"/>
      <c r="G26" s="77"/>
      <c r="H26" s="77"/>
      <c r="I26" s="77"/>
      <c r="J26" s="77"/>
      <c r="K26" s="77"/>
      <c r="L26" s="77"/>
      <c r="M26" s="77"/>
      <c r="N26" s="78"/>
      <c r="O26" s="76"/>
      <c r="P26" s="78"/>
      <c r="Q26" s="38"/>
    </row>
    <row r="27" spans="2:17" x14ac:dyDescent="0.25">
      <c r="B27" s="76" t="s">
        <v>22</v>
      </c>
      <c r="C27" s="36" t="s">
        <v>90</v>
      </c>
      <c r="D27" s="37" t="s">
        <v>118</v>
      </c>
      <c r="E27" s="77"/>
      <c r="F27" s="77"/>
      <c r="G27" s="77"/>
      <c r="H27" s="77"/>
      <c r="I27" s="77"/>
      <c r="J27" s="77"/>
      <c r="K27" s="77"/>
      <c r="L27" s="77"/>
      <c r="M27" s="77"/>
      <c r="N27" s="78"/>
      <c r="O27" s="76"/>
      <c r="P27" s="78"/>
      <c r="Q27" s="38"/>
    </row>
    <row r="28" spans="2:17" x14ac:dyDescent="0.25">
      <c r="B28" s="80" t="s">
        <v>23</v>
      </c>
      <c r="C28" s="81" t="s">
        <v>120</v>
      </c>
      <c r="D28" s="82" t="s">
        <v>117</v>
      </c>
      <c r="E28" s="86"/>
      <c r="F28" s="86"/>
      <c r="G28" s="86"/>
      <c r="H28" s="86"/>
      <c r="I28" s="86"/>
      <c r="J28" s="86"/>
      <c r="K28" s="86"/>
      <c r="L28" s="86"/>
      <c r="M28" s="86"/>
      <c r="N28" s="87"/>
      <c r="O28" s="88"/>
      <c r="P28" s="87"/>
      <c r="Q28" s="89"/>
    </row>
    <row r="29" spans="2:17" x14ac:dyDescent="0.25">
      <c r="B29" s="76" t="s">
        <v>23</v>
      </c>
      <c r="C29" s="36" t="s">
        <v>120</v>
      </c>
      <c r="D29" s="37" t="s">
        <v>119</v>
      </c>
      <c r="E29" s="77"/>
      <c r="F29" s="77"/>
      <c r="G29" s="77"/>
      <c r="H29" s="77"/>
      <c r="I29" s="77"/>
      <c r="J29" s="77"/>
      <c r="K29" s="77"/>
      <c r="L29" s="77"/>
      <c r="M29" s="77"/>
      <c r="N29" s="78"/>
      <c r="O29" s="76"/>
      <c r="P29" s="78"/>
      <c r="Q29" s="38"/>
    </row>
    <row r="30" spans="2:17" x14ac:dyDescent="0.25">
      <c r="B30" s="76" t="s">
        <v>23</v>
      </c>
      <c r="C30" s="36" t="s">
        <v>120</v>
      </c>
      <c r="D30" s="37" t="s">
        <v>118</v>
      </c>
      <c r="E30" s="77"/>
      <c r="F30" s="77"/>
      <c r="G30" s="77"/>
      <c r="H30" s="77"/>
      <c r="I30" s="77"/>
      <c r="J30" s="77"/>
      <c r="K30" s="77"/>
      <c r="L30" s="77"/>
      <c r="M30" s="77"/>
      <c r="N30" s="78"/>
      <c r="O30" s="76"/>
      <c r="P30" s="78"/>
      <c r="Q30" s="38"/>
    </row>
    <row r="31" spans="2:17" x14ac:dyDescent="0.25">
      <c r="B31" s="80" t="s">
        <v>24</v>
      </c>
      <c r="C31" s="81" t="s">
        <v>91</v>
      </c>
      <c r="D31" s="82" t="s">
        <v>117</v>
      </c>
      <c r="E31" s="86"/>
      <c r="F31" s="86"/>
      <c r="G31" s="86"/>
      <c r="H31" s="86"/>
      <c r="I31" s="86"/>
      <c r="J31" s="86"/>
      <c r="K31" s="86"/>
      <c r="L31" s="86"/>
      <c r="M31" s="86"/>
      <c r="N31" s="87"/>
      <c r="O31" s="88"/>
      <c r="P31" s="87"/>
      <c r="Q31" s="89"/>
    </row>
    <row r="32" spans="2:17" x14ac:dyDescent="0.25">
      <c r="B32" s="76" t="s">
        <v>24</v>
      </c>
      <c r="C32" s="36" t="s">
        <v>91</v>
      </c>
      <c r="D32" s="37" t="s">
        <v>119</v>
      </c>
      <c r="E32" s="77"/>
      <c r="F32" s="77"/>
      <c r="G32" s="77"/>
      <c r="H32" s="77"/>
      <c r="I32" s="77"/>
      <c r="J32" s="77"/>
      <c r="K32" s="77"/>
      <c r="L32" s="77"/>
      <c r="M32" s="77"/>
      <c r="N32" s="78"/>
      <c r="O32" s="76"/>
      <c r="P32" s="78"/>
      <c r="Q32" s="38"/>
    </row>
    <row r="33" spans="2:17" x14ac:dyDescent="0.25">
      <c r="B33" s="76" t="s">
        <v>24</v>
      </c>
      <c r="C33" s="36" t="s">
        <v>91</v>
      </c>
      <c r="D33" s="37" t="s">
        <v>118</v>
      </c>
      <c r="E33" s="77"/>
      <c r="F33" s="77"/>
      <c r="G33" s="77"/>
      <c r="H33" s="77"/>
      <c r="I33" s="77"/>
      <c r="J33" s="77"/>
      <c r="K33" s="77"/>
      <c r="L33" s="77"/>
      <c r="M33" s="77"/>
      <c r="N33" s="78"/>
      <c r="O33" s="76"/>
      <c r="P33" s="78"/>
      <c r="Q33" s="38"/>
    </row>
    <row r="34" spans="2:17" x14ac:dyDescent="0.25">
      <c r="B34" s="80" t="s">
        <v>25</v>
      </c>
      <c r="C34" s="81" t="s">
        <v>92</v>
      </c>
      <c r="D34" s="82" t="s">
        <v>117</v>
      </c>
      <c r="E34" s="86"/>
      <c r="F34" s="86"/>
      <c r="G34" s="86"/>
      <c r="H34" s="86"/>
      <c r="I34" s="86"/>
      <c r="J34" s="86"/>
      <c r="K34" s="86"/>
      <c r="L34" s="86"/>
      <c r="M34" s="86"/>
      <c r="N34" s="87"/>
      <c r="O34" s="88"/>
      <c r="P34" s="87"/>
      <c r="Q34" s="89"/>
    </row>
    <row r="35" spans="2:17" x14ac:dyDescent="0.25">
      <c r="B35" s="76" t="s">
        <v>25</v>
      </c>
      <c r="C35" s="36" t="s">
        <v>92</v>
      </c>
      <c r="D35" s="37" t="s">
        <v>119</v>
      </c>
      <c r="E35" s="77"/>
      <c r="F35" s="77"/>
      <c r="G35" s="77"/>
      <c r="H35" s="77"/>
      <c r="I35" s="77"/>
      <c r="J35" s="77"/>
      <c r="K35" s="77"/>
      <c r="L35" s="77"/>
      <c r="M35" s="77"/>
      <c r="N35" s="78"/>
      <c r="O35" s="76"/>
      <c r="P35" s="78"/>
      <c r="Q35" s="38"/>
    </row>
    <row r="36" spans="2:17" x14ac:dyDescent="0.25">
      <c r="B36" s="76" t="s">
        <v>25</v>
      </c>
      <c r="C36" s="36" t="s">
        <v>92</v>
      </c>
      <c r="D36" s="37" t="s">
        <v>118</v>
      </c>
      <c r="E36" s="77"/>
      <c r="F36" s="77"/>
      <c r="G36" s="77"/>
      <c r="H36" s="77"/>
      <c r="I36" s="77"/>
      <c r="J36" s="77"/>
      <c r="K36" s="77"/>
      <c r="L36" s="77"/>
      <c r="M36" s="77"/>
      <c r="N36" s="78"/>
      <c r="O36" s="76"/>
      <c r="P36" s="78"/>
      <c r="Q36" s="38"/>
    </row>
    <row r="37" spans="2:17" x14ac:dyDescent="0.25">
      <c r="B37" s="80" t="s">
        <v>27</v>
      </c>
      <c r="C37" s="81" t="s">
        <v>94</v>
      </c>
      <c r="D37" s="82" t="s">
        <v>117</v>
      </c>
      <c r="E37" s="86"/>
      <c r="F37" s="86"/>
      <c r="G37" s="86"/>
      <c r="H37" s="86"/>
      <c r="I37" s="86"/>
      <c r="J37" s="86"/>
      <c r="K37" s="86"/>
      <c r="L37" s="86"/>
      <c r="M37" s="86"/>
      <c r="N37" s="87"/>
      <c r="O37" s="88"/>
      <c r="P37" s="87"/>
      <c r="Q37" s="89"/>
    </row>
    <row r="38" spans="2:17" x14ac:dyDescent="0.25">
      <c r="B38" s="76" t="s">
        <v>27</v>
      </c>
      <c r="C38" s="36" t="s">
        <v>94</v>
      </c>
      <c r="D38" s="37" t="s">
        <v>119</v>
      </c>
      <c r="E38" s="77"/>
      <c r="F38" s="77"/>
      <c r="G38" s="77"/>
      <c r="H38" s="77"/>
      <c r="I38" s="77"/>
      <c r="J38" s="77"/>
      <c r="K38" s="77"/>
      <c r="L38" s="77"/>
      <c r="M38" s="77"/>
      <c r="N38" s="78"/>
      <c r="O38" s="76"/>
      <c r="P38" s="78"/>
      <c r="Q38" s="38"/>
    </row>
    <row r="39" spans="2:17" x14ac:dyDescent="0.25">
      <c r="B39" s="76" t="s">
        <v>27</v>
      </c>
      <c r="C39" s="36" t="s">
        <v>94</v>
      </c>
      <c r="D39" s="37" t="s">
        <v>118</v>
      </c>
      <c r="E39" s="77"/>
      <c r="F39" s="77"/>
      <c r="G39" s="77"/>
      <c r="H39" s="77"/>
      <c r="I39" s="77"/>
      <c r="J39" s="77"/>
      <c r="K39" s="77"/>
      <c r="L39" s="77"/>
      <c r="M39" s="77"/>
      <c r="N39" s="78"/>
      <c r="O39" s="76"/>
      <c r="P39" s="78"/>
      <c r="Q39" s="38"/>
    </row>
    <row r="40" spans="2:17" x14ac:dyDescent="0.25">
      <c r="B40" s="80" t="s">
        <v>26</v>
      </c>
      <c r="C40" s="81" t="s">
        <v>93</v>
      </c>
      <c r="D40" s="82" t="s">
        <v>117</v>
      </c>
      <c r="E40" s="86"/>
      <c r="F40" s="86"/>
      <c r="G40" s="86"/>
      <c r="H40" s="86"/>
      <c r="I40" s="86"/>
      <c r="J40" s="86"/>
      <c r="K40" s="86"/>
      <c r="L40" s="86"/>
      <c r="M40" s="86"/>
      <c r="N40" s="87"/>
      <c r="O40" s="88"/>
      <c r="P40" s="87"/>
      <c r="Q40" s="89"/>
    </row>
    <row r="41" spans="2:17" x14ac:dyDescent="0.25">
      <c r="B41" s="76" t="s">
        <v>26</v>
      </c>
      <c r="C41" s="36" t="s">
        <v>93</v>
      </c>
      <c r="D41" s="37" t="s">
        <v>119</v>
      </c>
      <c r="E41" s="77"/>
      <c r="F41" s="77"/>
      <c r="G41" s="77"/>
      <c r="H41" s="77"/>
      <c r="I41" s="77"/>
      <c r="J41" s="77"/>
      <c r="K41" s="77"/>
      <c r="L41" s="77"/>
      <c r="M41" s="77"/>
      <c r="N41" s="78"/>
      <c r="O41" s="76"/>
      <c r="P41" s="78"/>
      <c r="Q41" s="38"/>
    </row>
    <row r="42" spans="2:17" x14ac:dyDescent="0.25">
      <c r="B42" s="76" t="s">
        <v>26</v>
      </c>
      <c r="C42" s="36" t="s">
        <v>93</v>
      </c>
      <c r="D42" s="37" t="s">
        <v>118</v>
      </c>
      <c r="E42" s="77"/>
      <c r="F42" s="77"/>
      <c r="G42" s="77"/>
      <c r="H42" s="77"/>
      <c r="I42" s="77"/>
      <c r="J42" s="77"/>
      <c r="K42" s="77"/>
      <c r="L42" s="77"/>
      <c r="M42" s="77"/>
      <c r="N42" s="78"/>
      <c r="O42" s="76"/>
      <c r="P42" s="78"/>
      <c r="Q42" s="38"/>
    </row>
    <row r="43" spans="2:17" x14ac:dyDescent="0.25">
      <c r="B43" s="80" t="s">
        <v>28</v>
      </c>
      <c r="C43" s="81" t="s">
        <v>95</v>
      </c>
      <c r="D43" s="82" t="s">
        <v>117</v>
      </c>
      <c r="E43" s="86"/>
      <c r="F43" s="86"/>
      <c r="G43" s="86"/>
      <c r="H43" s="86"/>
      <c r="I43" s="86"/>
      <c r="J43" s="86"/>
      <c r="K43" s="86"/>
      <c r="L43" s="86"/>
      <c r="M43" s="86"/>
      <c r="N43" s="87"/>
      <c r="O43" s="88"/>
      <c r="P43" s="87"/>
      <c r="Q43" s="89"/>
    </row>
    <row r="44" spans="2:17" x14ac:dyDescent="0.25">
      <c r="B44" s="76" t="s">
        <v>28</v>
      </c>
      <c r="C44" s="36" t="s">
        <v>95</v>
      </c>
      <c r="D44" s="37" t="s">
        <v>119</v>
      </c>
      <c r="E44" s="77"/>
      <c r="F44" s="77"/>
      <c r="G44" s="77"/>
      <c r="H44" s="77"/>
      <c r="I44" s="77"/>
      <c r="J44" s="77"/>
      <c r="K44" s="77"/>
      <c r="L44" s="77"/>
      <c r="M44" s="77"/>
      <c r="N44" s="78"/>
      <c r="O44" s="76"/>
      <c r="P44" s="78"/>
      <c r="Q44" s="38"/>
    </row>
    <row r="45" spans="2:17" x14ac:dyDescent="0.25">
      <c r="B45" s="76" t="s">
        <v>28</v>
      </c>
      <c r="C45" s="36" t="s">
        <v>95</v>
      </c>
      <c r="D45" s="37" t="s">
        <v>118</v>
      </c>
      <c r="E45" s="77"/>
      <c r="F45" s="77"/>
      <c r="G45" s="77"/>
      <c r="H45" s="77"/>
      <c r="I45" s="77"/>
      <c r="J45" s="77"/>
      <c r="K45" s="77"/>
      <c r="L45" s="77"/>
      <c r="M45" s="77"/>
      <c r="N45" s="78"/>
      <c r="O45" s="76"/>
      <c r="P45" s="78"/>
      <c r="Q45" s="38"/>
    </row>
    <row r="46" spans="2:17" x14ac:dyDescent="0.25">
      <c r="B46" s="80" t="s">
        <v>29</v>
      </c>
      <c r="C46" s="81" t="s">
        <v>96</v>
      </c>
      <c r="D46" s="82" t="s">
        <v>117</v>
      </c>
      <c r="E46" s="86"/>
      <c r="F46" s="86"/>
      <c r="G46" s="86"/>
      <c r="H46" s="86"/>
      <c r="I46" s="86"/>
      <c r="J46" s="86"/>
      <c r="K46" s="86"/>
      <c r="L46" s="86"/>
      <c r="M46" s="86"/>
      <c r="N46" s="87"/>
      <c r="O46" s="88"/>
      <c r="P46" s="87"/>
      <c r="Q46" s="89"/>
    </row>
    <row r="47" spans="2:17" x14ac:dyDescent="0.25">
      <c r="B47" s="76" t="s">
        <v>29</v>
      </c>
      <c r="C47" s="36" t="s">
        <v>96</v>
      </c>
      <c r="D47" s="37" t="s">
        <v>119</v>
      </c>
      <c r="E47" s="77"/>
      <c r="F47" s="77"/>
      <c r="G47" s="77"/>
      <c r="H47" s="77"/>
      <c r="I47" s="77"/>
      <c r="J47" s="77"/>
      <c r="K47" s="77"/>
      <c r="L47" s="77"/>
      <c r="M47" s="77"/>
      <c r="N47" s="78"/>
      <c r="O47" s="76"/>
      <c r="P47" s="78"/>
      <c r="Q47" s="38"/>
    </row>
    <row r="48" spans="2:17" x14ac:dyDescent="0.25">
      <c r="B48" s="76" t="s">
        <v>29</v>
      </c>
      <c r="C48" s="36" t="s">
        <v>96</v>
      </c>
      <c r="D48" s="37" t="s">
        <v>118</v>
      </c>
      <c r="E48" s="77"/>
      <c r="F48" s="77"/>
      <c r="G48" s="77"/>
      <c r="H48" s="77"/>
      <c r="I48" s="77"/>
      <c r="J48" s="77"/>
      <c r="K48" s="77"/>
      <c r="L48" s="77"/>
      <c r="M48" s="77"/>
      <c r="N48" s="78"/>
      <c r="O48" s="76"/>
      <c r="P48" s="78"/>
      <c r="Q48" s="38"/>
    </row>
    <row r="49" spans="2:17" x14ac:dyDescent="0.25">
      <c r="B49" s="80" t="s">
        <v>30</v>
      </c>
      <c r="C49" s="81" t="s">
        <v>97</v>
      </c>
      <c r="D49" s="82" t="s">
        <v>117</v>
      </c>
      <c r="E49" s="86"/>
      <c r="F49" s="86"/>
      <c r="G49" s="86"/>
      <c r="H49" s="86"/>
      <c r="I49" s="86"/>
      <c r="J49" s="86"/>
      <c r="K49" s="86"/>
      <c r="L49" s="86"/>
      <c r="M49" s="86"/>
      <c r="N49" s="87"/>
      <c r="O49" s="88"/>
      <c r="P49" s="87"/>
      <c r="Q49" s="89"/>
    </row>
    <row r="50" spans="2:17" x14ac:dyDescent="0.25">
      <c r="B50" s="76" t="s">
        <v>30</v>
      </c>
      <c r="C50" s="36" t="s">
        <v>97</v>
      </c>
      <c r="D50" s="37" t="s">
        <v>119</v>
      </c>
      <c r="E50" s="77"/>
      <c r="F50" s="77"/>
      <c r="G50" s="77"/>
      <c r="H50" s="77"/>
      <c r="I50" s="77"/>
      <c r="J50" s="77"/>
      <c r="K50" s="77"/>
      <c r="L50" s="77"/>
      <c r="M50" s="77"/>
      <c r="N50" s="78"/>
      <c r="O50" s="76"/>
      <c r="P50" s="78"/>
      <c r="Q50" s="38"/>
    </row>
    <row r="51" spans="2:17" x14ac:dyDescent="0.25">
      <c r="B51" s="76" t="s">
        <v>30</v>
      </c>
      <c r="C51" s="36" t="s">
        <v>97</v>
      </c>
      <c r="D51" s="37" t="s">
        <v>118</v>
      </c>
      <c r="E51" s="77"/>
      <c r="F51" s="77"/>
      <c r="G51" s="77"/>
      <c r="H51" s="77"/>
      <c r="I51" s="77"/>
      <c r="J51" s="77"/>
      <c r="K51" s="77"/>
      <c r="L51" s="77"/>
      <c r="M51" s="77"/>
      <c r="N51" s="78"/>
      <c r="O51" s="76"/>
      <c r="P51" s="78"/>
      <c r="Q51" s="38"/>
    </row>
    <row r="52" spans="2:17" x14ac:dyDescent="0.25">
      <c r="B52" s="80" t="s">
        <v>31</v>
      </c>
      <c r="C52" s="81" t="s">
        <v>98</v>
      </c>
      <c r="D52" s="82" t="s">
        <v>117</v>
      </c>
      <c r="E52" s="86"/>
      <c r="F52" s="86"/>
      <c r="G52" s="86"/>
      <c r="H52" s="86"/>
      <c r="I52" s="86"/>
      <c r="J52" s="86"/>
      <c r="K52" s="86"/>
      <c r="L52" s="86"/>
      <c r="M52" s="86"/>
      <c r="N52" s="87"/>
      <c r="O52" s="88"/>
      <c r="P52" s="87"/>
      <c r="Q52" s="89"/>
    </row>
    <row r="53" spans="2:17" x14ac:dyDescent="0.25">
      <c r="B53" s="76" t="s">
        <v>31</v>
      </c>
      <c r="C53" s="36" t="s">
        <v>98</v>
      </c>
      <c r="D53" s="37" t="s">
        <v>119</v>
      </c>
      <c r="E53" s="77"/>
      <c r="F53" s="77"/>
      <c r="G53" s="77"/>
      <c r="H53" s="77"/>
      <c r="I53" s="77"/>
      <c r="J53" s="77"/>
      <c r="K53" s="77"/>
      <c r="L53" s="77"/>
      <c r="M53" s="77"/>
      <c r="N53" s="78"/>
      <c r="O53" s="76"/>
      <c r="P53" s="78"/>
      <c r="Q53" s="38"/>
    </row>
    <row r="54" spans="2:17" x14ac:dyDescent="0.25">
      <c r="B54" s="76" t="s">
        <v>31</v>
      </c>
      <c r="C54" s="36" t="s">
        <v>98</v>
      </c>
      <c r="D54" s="37" t="s">
        <v>118</v>
      </c>
      <c r="E54" s="77"/>
      <c r="F54" s="77"/>
      <c r="G54" s="77"/>
      <c r="H54" s="77"/>
      <c r="I54" s="77"/>
      <c r="J54" s="77"/>
      <c r="K54" s="77"/>
      <c r="L54" s="77"/>
      <c r="M54" s="77"/>
      <c r="N54" s="78"/>
      <c r="O54" s="76"/>
      <c r="P54" s="78"/>
      <c r="Q54" s="38"/>
    </row>
    <row r="55" spans="2:17" x14ac:dyDescent="0.25">
      <c r="B55" s="80" t="s">
        <v>44</v>
      </c>
      <c r="C55" s="81" t="s">
        <v>107</v>
      </c>
      <c r="D55" s="82" t="s">
        <v>117</v>
      </c>
      <c r="E55" s="86"/>
      <c r="F55" s="86"/>
      <c r="G55" s="86"/>
      <c r="H55" s="86"/>
      <c r="I55" s="86"/>
      <c r="J55" s="86"/>
      <c r="K55" s="86"/>
      <c r="L55" s="86"/>
      <c r="M55" s="86"/>
      <c r="N55" s="87"/>
      <c r="O55" s="88"/>
      <c r="P55" s="87"/>
      <c r="Q55" s="89"/>
    </row>
    <row r="56" spans="2:17" x14ac:dyDescent="0.25">
      <c r="B56" s="76" t="s">
        <v>44</v>
      </c>
      <c r="C56" s="36" t="s">
        <v>107</v>
      </c>
      <c r="D56" s="37" t="s">
        <v>119</v>
      </c>
      <c r="E56" s="77"/>
      <c r="F56" s="77"/>
      <c r="G56" s="77"/>
      <c r="H56" s="77"/>
      <c r="I56" s="77"/>
      <c r="J56" s="77"/>
      <c r="K56" s="77"/>
      <c r="L56" s="77"/>
      <c r="M56" s="77"/>
      <c r="N56" s="78"/>
      <c r="O56" s="76"/>
      <c r="P56" s="78"/>
      <c r="Q56" s="38"/>
    </row>
    <row r="57" spans="2:17" x14ac:dyDescent="0.25">
      <c r="B57" s="76" t="s">
        <v>44</v>
      </c>
      <c r="C57" s="36" t="s">
        <v>107</v>
      </c>
      <c r="D57" s="37" t="s">
        <v>118</v>
      </c>
      <c r="E57" s="77"/>
      <c r="F57" s="77"/>
      <c r="G57" s="77"/>
      <c r="H57" s="77"/>
      <c r="I57" s="77"/>
      <c r="J57" s="77"/>
      <c r="K57" s="77"/>
      <c r="L57" s="77"/>
      <c r="M57" s="77"/>
      <c r="N57" s="78"/>
      <c r="O57" s="76"/>
      <c r="P57" s="78"/>
      <c r="Q57" s="38"/>
    </row>
    <row r="58" spans="2:17" x14ac:dyDescent="0.25">
      <c r="B58" s="80" t="s">
        <v>32</v>
      </c>
      <c r="C58" s="81" t="s">
        <v>82</v>
      </c>
      <c r="D58" s="82" t="s">
        <v>117</v>
      </c>
      <c r="E58" s="86"/>
      <c r="F58" s="86"/>
      <c r="G58" s="86"/>
      <c r="H58" s="86"/>
      <c r="I58" s="86"/>
      <c r="J58" s="86"/>
      <c r="K58" s="86"/>
      <c r="L58" s="86"/>
      <c r="M58" s="86"/>
      <c r="N58" s="87"/>
      <c r="O58" s="88"/>
      <c r="P58" s="87"/>
      <c r="Q58" s="89"/>
    </row>
    <row r="59" spans="2:17" x14ac:dyDescent="0.25">
      <c r="B59" s="76" t="s">
        <v>32</v>
      </c>
      <c r="C59" s="36" t="s">
        <v>82</v>
      </c>
      <c r="D59" s="37" t="s">
        <v>119</v>
      </c>
      <c r="E59" s="77"/>
      <c r="F59" s="77"/>
      <c r="G59" s="77"/>
      <c r="H59" s="77"/>
      <c r="I59" s="77"/>
      <c r="J59" s="77"/>
      <c r="K59" s="77"/>
      <c r="L59" s="77"/>
      <c r="M59" s="77"/>
      <c r="N59" s="78"/>
      <c r="O59" s="76"/>
      <c r="P59" s="78"/>
      <c r="Q59" s="38"/>
    </row>
    <row r="60" spans="2:17" x14ac:dyDescent="0.25">
      <c r="B60" s="76" t="s">
        <v>32</v>
      </c>
      <c r="C60" s="36" t="s">
        <v>82</v>
      </c>
      <c r="D60" s="37" t="s">
        <v>118</v>
      </c>
      <c r="E60" s="77"/>
      <c r="F60" s="77"/>
      <c r="G60" s="77"/>
      <c r="H60" s="77"/>
      <c r="I60" s="77"/>
      <c r="J60" s="77"/>
      <c r="K60" s="77"/>
      <c r="L60" s="77"/>
      <c r="M60" s="77"/>
      <c r="N60" s="78"/>
      <c r="O60" s="76"/>
      <c r="P60" s="78"/>
      <c r="Q60" s="38"/>
    </row>
    <row r="61" spans="2:17" x14ac:dyDescent="0.25">
      <c r="B61" s="80" t="s">
        <v>41</v>
      </c>
      <c r="C61" s="81" t="s">
        <v>106</v>
      </c>
      <c r="D61" s="82" t="s">
        <v>117</v>
      </c>
      <c r="E61" s="86"/>
      <c r="F61" s="86"/>
      <c r="G61" s="86"/>
      <c r="H61" s="86"/>
      <c r="I61" s="86"/>
      <c r="J61" s="86"/>
      <c r="K61" s="86"/>
      <c r="L61" s="86"/>
      <c r="M61" s="86"/>
      <c r="N61" s="87"/>
      <c r="O61" s="88"/>
      <c r="P61" s="87"/>
      <c r="Q61" s="89"/>
    </row>
    <row r="62" spans="2:17" x14ac:dyDescent="0.25">
      <c r="B62" s="76" t="s">
        <v>41</v>
      </c>
      <c r="C62" s="36" t="s">
        <v>106</v>
      </c>
      <c r="D62" s="37" t="s">
        <v>119</v>
      </c>
      <c r="E62" s="77"/>
      <c r="F62" s="77"/>
      <c r="G62" s="77"/>
      <c r="H62" s="77"/>
      <c r="I62" s="77"/>
      <c r="J62" s="77"/>
      <c r="K62" s="77"/>
      <c r="L62" s="77"/>
      <c r="M62" s="77"/>
      <c r="N62" s="78"/>
      <c r="O62" s="76"/>
      <c r="P62" s="78"/>
      <c r="Q62" s="38"/>
    </row>
    <row r="63" spans="2:17" x14ac:dyDescent="0.25">
      <c r="B63" s="76" t="s">
        <v>41</v>
      </c>
      <c r="C63" s="36" t="s">
        <v>106</v>
      </c>
      <c r="D63" s="37" t="s">
        <v>118</v>
      </c>
      <c r="E63" s="77"/>
      <c r="F63" s="77"/>
      <c r="G63" s="77"/>
      <c r="H63" s="77"/>
      <c r="I63" s="77"/>
      <c r="J63" s="77"/>
      <c r="K63" s="77"/>
      <c r="L63" s="77"/>
      <c r="M63" s="77"/>
      <c r="N63" s="78"/>
      <c r="O63" s="76"/>
      <c r="P63" s="78"/>
      <c r="Q63" s="38"/>
    </row>
    <row r="64" spans="2:17" x14ac:dyDescent="0.25">
      <c r="B64" s="80" t="s">
        <v>33</v>
      </c>
      <c r="C64" s="81" t="s">
        <v>99</v>
      </c>
      <c r="D64" s="82" t="s">
        <v>117</v>
      </c>
      <c r="E64" s="86"/>
      <c r="F64" s="86"/>
      <c r="G64" s="86"/>
      <c r="H64" s="86"/>
      <c r="I64" s="86"/>
      <c r="J64" s="86"/>
      <c r="K64" s="86"/>
      <c r="L64" s="86"/>
      <c r="M64" s="86"/>
      <c r="N64" s="87"/>
      <c r="O64" s="88"/>
      <c r="P64" s="87"/>
      <c r="Q64" s="89"/>
    </row>
    <row r="65" spans="2:17" x14ac:dyDescent="0.25">
      <c r="B65" s="76" t="s">
        <v>33</v>
      </c>
      <c r="C65" s="36" t="s">
        <v>99</v>
      </c>
      <c r="D65" s="37" t="s">
        <v>119</v>
      </c>
      <c r="E65" s="77"/>
      <c r="F65" s="77"/>
      <c r="G65" s="77"/>
      <c r="H65" s="77"/>
      <c r="I65" s="77"/>
      <c r="J65" s="77"/>
      <c r="K65" s="77"/>
      <c r="L65" s="77"/>
      <c r="M65" s="77"/>
      <c r="N65" s="78"/>
      <c r="O65" s="76"/>
      <c r="P65" s="78"/>
      <c r="Q65" s="38"/>
    </row>
    <row r="66" spans="2:17" x14ac:dyDescent="0.25">
      <c r="B66" s="76" t="s">
        <v>33</v>
      </c>
      <c r="C66" s="36" t="s">
        <v>99</v>
      </c>
      <c r="D66" s="37" t="s">
        <v>118</v>
      </c>
      <c r="E66" s="77"/>
      <c r="F66" s="77"/>
      <c r="G66" s="77"/>
      <c r="H66" s="77"/>
      <c r="I66" s="77"/>
      <c r="J66" s="77"/>
      <c r="K66" s="77"/>
      <c r="L66" s="77"/>
      <c r="M66" s="77"/>
      <c r="N66" s="78"/>
      <c r="O66" s="76"/>
      <c r="P66" s="78"/>
      <c r="Q66" s="38"/>
    </row>
    <row r="67" spans="2:17" x14ac:dyDescent="0.25">
      <c r="B67" s="80" t="s">
        <v>34</v>
      </c>
      <c r="C67" s="81" t="s">
        <v>100</v>
      </c>
      <c r="D67" s="82" t="s">
        <v>117</v>
      </c>
      <c r="E67" s="86"/>
      <c r="F67" s="86"/>
      <c r="G67" s="86"/>
      <c r="H67" s="86"/>
      <c r="I67" s="86"/>
      <c r="J67" s="86"/>
      <c r="K67" s="86"/>
      <c r="L67" s="86"/>
      <c r="M67" s="86"/>
      <c r="N67" s="87"/>
      <c r="O67" s="88"/>
      <c r="P67" s="87"/>
      <c r="Q67" s="89"/>
    </row>
    <row r="68" spans="2:17" x14ac:dyDescent="0.25">
      <c r="B68" s="76" t="s">
        <v>34</v>
      </c>
      <c r="C68" s="36" t="s">
        <v>100</v>
      </c>
      <c r="D68" s="37" t="s">
        <v>119</v>
      </c>
      <c r="E68" s="77"/>
      <c r="F68" s="77"/>
      <c r="G68" s="77"/>
      <c r="H68" s="77"/>
      <c r="I68" s="77"/>
      <c r="J68" s="77"/>
      <c r="K68" s="77"/>
      <c r="L68" s="77"/>
      <c r="M68" s="77"/>
      <c r="N68" s="78"/>
      <c r="O68" s="76"/>
      <c r="P68" s="78"/>
      <c r="Q68" s="38"/>
    </row>
    <row r="69" spans="2:17" x14ac:dyDescent="0.25">
      <c r="B69" s="76" t="s">
        <v>34</v>
      </c>
      <c r="C69" s="36" t="s">
        <v>100</v>
      </c>
      <c r="D69" s="37" t="s">
        <v>118</v>
      </c>
      <c r="E69" s="77"/>
      <c r="F69" s="77"/>
      <c r="G69" s="77"/>
      <c r="H69" s="77"/>
      <c r="I69" s="77"/>
      <c r="J69" s="77"/>
      <c r="K69" s="77"/>
      <c r="L69" s="77"/>
      <c r="M69" s="77"/>
      <c r="N69" s="78"/>
      <c r="O69" s="76"/>
      <c r="P69" s="78"/>
      <c r="Q69" s="38"/>
    </row>
    <row r="70" spans="2:17" x14ac:dyDescent="0.25">
      <c r="B70" s="80" t="s">
        <v>36</v>
      </c>
      <c r="C70" s="81" t="s">
        <v>110</v>
      </c>
      <c r="D70" s="82" t="s">
        <v>117</v>
      </c>
      <c r="E70" s="86"/>
      <c r="F70" s="86"/>
      <c r="G70" s="86"/>
      <c r="H70" s="86"/>
      <c r="I70" s="86"/>
      <c r="J70" s="86"/>
      <c r="K70" s="86"/>
      <c r="L70" s="86"/>
      <c r="M70" s="86"/>
      <c r="N70" s="87"/>
      <c r="O70" s="88"/>
      <c r="P70" s="87"/>
      <c r="Q70" s="89"/>
    </row>
    <row r="71" spans="2:17" x14ac:dyDescent="0.25">
      <c r="B71" s="76" t="s">
        <v>36</v>
      </c>
      <c r="C71" s="36" t="s">
        <v>110</v>
      </c>
      <c r="D71" s="37" t="s">
        <v>119</v>
      </c>
      <c r="E71" s="77"/>
      <c r="F71" s="77"/>
      <c r="G71" s="77"/>
      <c r="H71" s="77"/>
      <c r="I71" s="77"/>
      <c r="J71" s="77"/>
      <c r="K71" s="77"/>
      <c r="L71" s="77"/>
      <c r="M71" s="77"/>
      <c r="N71" s="78"/>
      <c r="O71" s="76"/>
      <c r="P71" s="78"/>
      <c r="Q71" s="38"/>
    </row>
    <row r="72" spans="2:17" x14ac:dyDescent="0.25">
      <c r="B72" s="76" t="s">
        <v>36</v>
      </c>
      <c r="C72" s="36" t="s">
        <v>110</v>
      </c>
      <c r="D72" s="37" t="s">
        <v>118</v>
      </c>
      <c r="E72" s="77"/>
      <c r="F72" s="77"/>
      <c r="G72" s="77"/>
      <c r="H72" s="77"/>
      <c r="I72" s="77"/>
      <c r="J72" s="77"/>
      <c r="K72" s="77"/>
      <c r="L72" s="77"/>
      <c r="M72" s="77"/>
      <c r="N72" s="78"/>
      <c r="O72" s="76"/>
      <c r="P72" s="78"/>
      <c r="Q72" s="38"/>
    </row>
    <row r="73" spans="2:17" x14ac:dyDescent="0.25">
      <c r="B73" s="80" t="s">
        <v>37</v>
      </c>
      <c r="C73" s="81" t="s">
        <v>102</v>
      </c>
      <c r="D73" s="82" t="s">
        <v>117</v>
      </c>
      <c r="E73" s="86"/>
      <c r="F73" s="86"/>
      <c r="G73" s="86"/>
      <c r="H73" s="86"/>
      <c r="I73" s="86"/>
      <c r="J73" s="86"/>
      <c r="K73" s="86"/>
      <c r="L73" s="86"/>
      <c r="M73" s="86"/>
      <c r="N73" s="87"/>
      <c r="O73" s="88"/>
      <c r="P73" s="87"/>
      <c r="Q73" s="89"/>
    </row>
    <row r="74" spans="2:17" x14ac:dyDescent="0.25">
      <c r="B74" s="76" t="s">
        <v>37</v>
      </c>
      <c r="C74" s="36" t="s">
        <v>102</v>
      </c>
      <c r="D74" s="37" t="s">
        <v>119</v>
      </c>
      <c r="E74" s="77"/>
      <c r="F74" s="77"/>
      <c r="G74" s="77"/>
      <c r="H74" s="77"/>
      <c r="I74" s="77"/>
      <c r="J74" s="77"/>
      <c r="K74" s="77"/>
      <c r="L74" s="77"/>
      <c r="M74" s="77"/>
      <c r="N74" s="78"/>
      <c r="O74" s="76"/>
      <c r="P74" s="78"/>
      <c r="Q74" s="38"/>
    </row>
    <row r="75" spans="2:17" x14ac:dyDescent="0.25">
      <c r="B75" s="76" t="s">
        <v>37</v>
      </c>
      <c r="C75" s="36" t="s">
        <v>102</v>
      </c>
      <c r="D75" s="37" t="s">
        <v>118</v>
      </c>
      <c r="E75" s="77"/>
      <c r="F75" s="77"/>
      <c r="G75" s="77"/>
      <c r="H75" s="77"/>
      <c r="I75" s="77"/>
      <c r="J75" s="77"/>
      <c r="K75" s="77"/>
      <c r="L75" s="77"/>
      <c r="M75" s="77"/>
      <c r="N75" s="78"/>
      <c r="O75" s="76"/>
      <c r="P75" s="78"/>
      <c r="Q75" s="38"/>
    </row>
    <row r="76" spans="2:17" x14ac:dyDescent="0.25">
      <c r="B76" s="80" t="s">
        <v>35</v>
      </c>
      <c r="C76" s="81" t="s">
        <v>101</v>
      </c>
      <c r="D76" s="82" t="s">
        <v>117</v>
      </c>
      <c r="E76" s="86"/>
      <c r="F76" s="86"/>
      <c r="G76" s="86"/>
      <c r="H76" s="86"/>
      <c r="I76" s="86"/>
      <c r="J76" s="86"/>
      <c r="K76" s="86"/>
      <c r="L76" s="86"/>
      <c r="M76" s="86"/>
      <c r="N76" s="87"/>
      <c r="O76" s="88"/>
      <c r="P76" s="87"/>
      <c r="Q76" s="89"/>
    </row>
    <row r="77" spans="2:17" x14ac:dyDescent="0.25">
      <c r="B77" s="76" t="s">
        <v>35</v>
      </c>
      <c r="C77" s="36" t="s">
        <v>101</v>
      </c>
      <c r="D77" s="37" t="s">
        <v>119</v>
      </c>
      <c r="E77" s="77"/>
      <c r="F77" s="77"/>
      <c r="G77" s="77"/>
      <c r="H77" s="77"/>
      <c r="I77" s="77"/>
      <c r="J77" s="77"/>
      <c r="K77" s="77"/>
      <c r="L77" s="77"/>
      <c r="M77" s="77"/>
      <c r="N77" s="78"/>
      <c r="O77" s="76"/>
      <c r="P77" s="78"/>
      <c r="Q77" s="38"/>
    </row>
    <row r="78" spans="2:17" x14ac:dyDescent="0.25">
      <c r="B78" s="76" t="s">
        <v>35</v>
      </c>
      <c r="C78" s="36" t="s">
        <v>101</v>
      </c>
      <c r="D78" s="37" t="s">
        <v>118</v>
      </c>
      <c r="E78" s="77"/>
      <c r="F78" s="77"/>
      <c r="G78" s="77"/>
      <c r="H78" s="77"/>
      <c r="I78" s="77"/>
      <c r="J78" s="77"/>
      <c r="K78" s="77"/>
      <c r="L78" s="77"/>
      <c r="M78" s="77"/>
      <c r="N78" s="78"/>
      <c r="O78" s="76"/>
      <c r="P78" s="78"/>
      <c r="Q78" s="38"/>
    </row>
    <row r="79" spans="2:17" x14ac:dyDescent="0.25">
      <c r="B79" s="80" t="s">
        <v>39</v>
      </c>
      <c r="C79" s="81" t="s">
        <v>104</v>
      </c>
      <c r="D79" s="82" t="s">
        <v>117</v>
      </c>
      <c r="E79" s="86"/>
      <c r="F79" s="86"/>
      <c r="G79" s="86"/>
      <c r="H79" s="86"/>
      <c r="I79" s="86"/>
      <c r="J79" s="86"/>
      <c r="K79" s="86"/>
      <c r="L79" s="86"/>
      <c r="M79" s="86"/>
      <c r="N79" s="87"/>
      <c r="O79" s="88"/>
      <c r="P79" s="87"/>
      <c r="Q79" s="89"/>
    </row>
    <row r="80" spans="2:17" x14ac:dyDescent="0.25">
      <c r="B80" s="76" t="s">
        <v>39</v>
      </c>
      <c r="C80" s="36" t="s">
        <v>104</v>
      </c>
      <c r="D80" s="37" t="s">
        <v>119</v>
      </c>
      <c r="E80" s="77"/>
      <c r="F80" s="77"/>
      <c r="G80" s="77"/>
      <c r="H80" s="77"/>
      <c r="I80" s="77"/>
      <c r="J80" s="77"/>
      <c r="K80" s="77"/>
      <c r="L80" s="77"/>
      <c r="M80" s="77"/>
      <c r="N80" s="78"/>
      <c r="O80" s="76"/>
      <c r="P80" s="78"/>
      <c r="Q80" s="38"/>
    </row>
    <row r="81" spans="2:17" x14ac:dyDescent="0.25">
      <c r="B81" s="76" t="s">
        <v>39</v>
      </c>
      <c r="C81" s="36" t="s">
        <v>104</v>
      </c>
      <c r="D81" s="37" t="s">
        <v>118</v>
      </c>
      <c r="E81" s="77"/>
      <c r="F81" s="77"/>
      <c r="G81" s="77"/>
      <c r="H81" s="77"/>
      <c r="I81" s="77"/>
      <c r="J81" s="77"/>
      <c r="K81" s="77"/>
      <c r="L81" s="77"/>
      <c r="M81" s="77"/>
      <c r="N81" s="78"/>
      <c r="O81" s="76"/>
      <c r="P81" s="78"/>
      <c r="Q81" s="38"/>
    </row>
    <row r="82" spans="2:17" x14ac:dyDescent="0.25">
      <c r="B82" s="80" t="s">
        <v>42</v>
      </c>
      <c r="C82" s="81" t="s">
        <v>121</v>
      </c>
      <c r="D82" s="82" t="s">
        <v>117</v>
      </c>
      <c r="E82" s="86"/>
      <c r="F82" s="86"/>
      <c r="G82" s="86"/>
      <c r="H82" s="86"/>
      <c r="I82" s="86"/>
      <c r="J82" s="86"/>
      <c r="K82" s="86"/>
      <c r="L82" s="86"/>
      <c r="M82" s="86"/>
      <c r="N82" s="87"/>
      <c r="O82" s="88"/>
      <c r="P82" s="87"/>
      <c r="Q82" s="89"/>
    </row>
    <row r="83" spans="2:17" x14ac:dyDescent="0.25">
      <c r="B83" s="76" t="s">
        <v>42</v>
      </c>
      <c r="C83" s="36" t="s">
        <v>121</v>
      </c>
      <c r="D83" s="37" t="s">
        <v>119</v>
      </c>
      <c r="E83" s="77"/>
      <c r="F83" s="77"/>
      <c r="G83" s="77"/>
      <c r="H83" s="77"/>
      <c r="I83" s="77"/>
      <c r="J83" s="77"/>
      <c r="K83" s="77"/>
      <c r="L83" s="77"/>
      <c r="M83" s="77"/>
      <c r="N83" s="78"/>
      <c r="O83" s="76"/>
      <c r="P83" s="78"/>
      <c r="Q83" s="38"/>
    </row>
    <row r="84" spans="2:17" x14ac:dyDescent="0.25">
      <c r="B84" s="76" t="s">
        <v>42</v>
      </c>
      <c r="C84" s="36" t="s">
        <v>121</v>
      </c>
      <c r="D84" s="37" t="s">
        <v>118</v>
      </c>
      <c r="E84" s="77"/>
      <c r="F84" s="77"/>
      <c r="G84" s="77"/>
      <c r="H84" s="77"/>
      <c r="I84" s="77"/>
      <c r="J84" s="77"/>
      <c r="K84" s="77"/>
      <c r="L84" s="77"/>
      <c r="M84" s="77"/>
      <c r="N84" s="78"/>
      <c r="O84" s="76"/>
      <c r="P84" s="78"/>
      <c r="Q84" s="38"/>
    </row>
    <row r="85" spans="2:17" x14ac:dyDescent="0.25">
      <c r="B85" s="80" t="s">
        <v>43</v>
      </c>
      <c r="C85" s="81" t="s">
        <v>43</v>
      </c>
      <c r="D85" s="82" t="s">
        <v>117</v>
      </c>
      <c r="E85" s="86"/>
      <c r="F85" s="86"/>
      <c r="G85" s="86"/>
      <c r="H85" s="86"/>
      <c r="I85" s="86"/>
      <c r="J85" s="86"/>
      <c r="K85" s="86"/>
      <c r="L85" s="86"/>
      <c r="M85" s="86"/>
      <c r="N85" s="87"/>
      <c r="O85" s="88"/>
      <c r="P85" s="87"/>
      <c r="Q85" s="89"/>
    </row>
    <row r="86" spans="2:17" x14ac:dyDescent="0.25">
      <c r="B86" s="76" t="s">
        <v>43</v>
      </c>
      <c r="C86" s="36" t="s">
        <v>43</v>
      </c>
      <c r="D86" s="37" t="s">
        <v>119</v>
      </c>
      <c r="E86" s="77"/>
      <c r="F86" s="77"/>
      <c r="G86" s="77"/>
      <c r="H86" s="77"/>
      <c r="I86" s="77"/>
      <c r="J86" s="77"/>
      <c r="K86" s="77"/>
      <c r="L86" s="77"/>
      <c r="M86" s="77"/>
      <c r="N86" s="78"/>
      <c r="O86" s="76"/>
      <c r="P86" s="78"/>
      <c r="Q86" s="38"/>
    </row>
    <row r="87" spans="2:17" x14ac:dyDescent="0.25">
      <c r="B87" s="76" t="s">
        <v>43</v>
      </c>
      <c r="C87" s="36" t="s">
        <v>43</v>
      </c>
      <c r="D87" s="37" t="s">
        <v>118</v>
      </c>
      <c r="E87" s="77"/>
      <c r="F87" s="77"/>
      <c r="G87" s="77"/>
      <c r="H87" s="77"/>
      <c r="I87" s="77"/>
      <c r="J87" s="77"/>
      <c r="K87" s="77"/>
      <c r="L87" s="77"/>
      <c r="M87" s="77"/>
      <c r="N87" s="78"/>
      <c r="O87" s="76"/>
      <c r="P87" s="78"/>
      <c r="Q87" s="38"/>
    </row>
    <row r="88" spans="2:17" x14ac:dyDescent="0.25">
      <c r="B88" s="80" t="s">
        <v>40</v>
      </c>
      <c r="C88" s="81" t="s">
        <v>105</v>
      </c>
      <c r="D88" s="82" t="s">
        <v>117</v>
      </c>
      <c r="E88" s="86"/>
      <c r="F88" s="86"/>
      <c r="G88" s="86"/>
      <c r="H88" s="86"/>
      <c r="I88" s="86"/>
      <c r="J88" s="86"/>
      <c r="K88" s="86"/>
      <c r="L88" s="86"/>
      <c r="M88" s="86"/>
      <c r="N88" s="87"/>
      <c r="O88" s="86"/>
      <c r="P88" s="87"/>
      <c r="Q88" s="89"/>
    </row>
    <row r="89" spans="2:17" x14ac:dyDescent="0.25">
      <c r="B89" s="76" t="s">
        <v>40</v>
      </c>
      <c r="C89" s="36" t="s">
        <v>105</v>
      </c>
      <c r="D89" s="37" t="s">
        <v>119</v>
      </c>
      <c r="E89" s="77"/>
      <c r="F89" s="77"/>
      <c r="G89" s="77"/>
      <c r="H89" s="77"/>
      <c r="I89" s="77"/>
      <c r="J89" s="77"/>
      <c r="K89" s="77"/>
      <c r="L89" s="77"/>
      <c r="M89" s="77"/>
      <c r="N89" s="78"/>
      <c r="O89" s="77"/>
      <c r="P89" s="78"/>
      <c r="Q89" s="38"/>
    </row>
    <row r="90" spans="2:17" x14ac:dyDescent="0.25">
      <c r="B90" s="76" t="s">
        <v>40</v>
      </c>
      <c r="C90" s="36" t="s">
        <v>105</v>
      </c>
      <c r="D90" s="37" t="s">
        <v>118</v>
      </c>
      <c r="E90" s="77"/>
      <c r="F90" s="77"/>
      <c r="G90" s="77"/>
      <c r="H90" s="77"/>
      <c r="I90" s="77"/>
      <c r="J90" s="77"/>
      <c r="K90" s="77"/>
      <c r="L90" s="77"/>
      <c r="M90" s="77"/>
      <c r="N90" s="78"/>
      <c r="O90" s="77"/>
      <c r="P90" s="78"/>
      <c r="Q90" s="38"/>
    </row>
    <row r="91" spans="2:17" x14ac:dyDescent="0.25">
      <c r="B91" s="80" t="s">
        <v>38</v>
      </c>
      <c r="C91" s="81" t="s">
        <v>103</v>
      </c>
      <c r="D91" s="82" t="s">
        <v>117</v>
      </c>
      <c r="E91" s="86"/>
      <c r="F91" s="86"/>
      <c r="G91" s="86"/>
      <c r="H91" s="86"/>
      <c r="I91" s="86"/>
      <c r="J91" s="86"/>
      <c r="K91" s="86"/>
      <c r="L91" s="86"/>
      <c r="M91" s="86"/>
      <c r="N91" s="87"/>
      <c r="O91" s="88"/>
      <c r="P91" s="87"/>
      <c r="Q91" s="89"/>
    </row>
    <row r="92" spans="2:17" x14ac:dyDescent="0.25">
      <c r="B92" s="76" t="s">
        <v>38</v>
      </c>
      <c r="C92" s="36" t="s">
        <v>103</v>
      </c>
      <c r="D92" s="37" t="s">
        <v>119</v>
      </c>
      <c r="E92" s="77"/>
      <c r="F92" s="77"/>
      <c r="G92" s="77"/>
      <c r="H92" s="77"/>
      <c r="I92" s="77"/>
      <c r="J92" s="77"/>
      <c r="K92" s="77"/>
      <c r="L92" s="77"/>
      <c r="M92" s="77"/>
      <c r="N92" s="78"/>
      <c r="O92" s="76"/>
      <c r="P92" s="78"/>
      <c r="Q92" s="38"/>
    </row>
    <row r="93" spans="2:17" x14ac:dyDescent="0.25">
      <c r="B93" s="76" t="s">
        <v>38</v>
      </c>
      <c r="C93" s="36" t="s">
        <v>103</v>
      </c>
      <c r="D93" s="37" t="s">
        <v>118</v>
      </c>
      <c r="E93" s="77"/>
      <c r="F93" s="77"/>
      <c r="G93" s="77"/>
      <c r="H93" s="77"/>
      <c r="I93" s="77"/>
      <c r="J93" s="77"/>
      <c r="K93" s="77"/>
      <c r="L93" s="77"/>
      <c r="M93" s="77"/>
      <c r="N93" s="78"/>
      <c r="O93" s="76"/>
      <c r="P93" s="78"/>
      <c r="Q93" s="38"/>
    </row>
    <row r="94" spans="2:17" x14ac:dyDescent="0.25">
      <c r="B94" s="80" t="s">
        <v>45</v>
      </c>
      <c r="C94" s="81" t="s">
        <v>108</v>
      </c>
      <c r="D94" s="82" t="s">
        <v>117</v>
      </c>
      <c r="E94" s="86"/>
      <c r="F94" s="86"/>
      <c r="G94" s="86"/>
      <c r="H94" s="86"/>
      <c r="I94" s="86"/>
      <c r="J94" s="86"/>
      <c r="K94" s="86"/>
      <c r="L94" s="86"/>
      <c r="M94" s="86"/>
      <c r="N94" s="87"/>
      <c r="O94" s="88"/>
      <c r="P94" s="87"/>
      <c r="Q94" s="89"/>
    </row>
    <row r="95" spans="2:17" x14ac:dyDescent="0.25">
      <c r="B95" s="76" t="s">
        <v>45</v>
      </c>
      <c r="C95" s="36" t="s">
        <v>108</v>
      </c>
      <c r="D95" s="37" t="s">
        <v>119</v>
      </c>
      <c r="E95" s="77"/>
      <c r="F95" s="77"/>
      <c r="G95" s="77"/>
      <c r="H95" s="77"/>
      <c r="I95" s="77"/>
      <c r="J95" s="77"/>
      <c r="K95" s="77"/>
      <c r="L95" s="77"/>
      <c r="M95" s="77"/>
      <c r="N95" s="78"/>
      <c r="O95" s="76"/>
      <c r="P95" s="78"/>
      <c r="Q95" s="38"/>
    </row>
    <row r="96" spans="2:17" x14ac:dyDescent="0.25">
      <c r="B96" s="76" t="s">
        <v>45</v>
      </c>
      <c r="C96" s="36" t="s">
        <v>108</v>
      </c>
      <c r="D96" s="37" t="s">
        <v>118</v>
      </c>
      <c r="E96" s="77"/>
      <c r="F96" s="77"/>
      <c r="G96" s="77"/>
      <c r="H96" s="77"/>
      <c r="I96" s="77"/>
      <c r="J96" s="77"/>
      <c r="K96" s="77"/>
      <c r="L96" s="77"/>
      <c r="M96" s="77"/>
      <c r="N96" s="78"/>
      <c r="O96" s="76"/>
      <c r="P96" s="78"/>
      <c r="Q96" s="38"/>
    </row>
    <row r="97" spans="2:17" x14ac:dyDescent="0.25">
      <c r="B97" s="80" t="s">
        <v>46</v>
      </c>
      <c r="C97" s="81" t="s">
        <v>109</v>
      </c>
      <c r="D97" s="82" t="s">
        <v>117</v>
      </c>
      <c r="E97" s="86"/>
      <c r="F97" s="86"/>
      <c r="G97" s="86"/>
      <c r="H97" s="86"/>
      <c r="I97" s="86"/>
      <c r="J97" s="86"/>
      <c r="K97" s="86"/>
      <c r="L97" s="86"/>
      <c r="M97" s="86"/>
      <c r="N97" s="87"/>
      <c r="O97" s="88"/>
      <c r="P97" s="87"/>
      <c r="Q97" s="89"/>
    </row>
    <row r="98" spans="2:17" x14ac:dyDescent="0.25">
      <c r="B98" s="76" t="s">
        <v>46</v>
      </c>
      <c r="C98" s="36" t="s">
        <v>109</v>
      </c>
      <c r="D98" s="37" t="s">
        <v>119</v>
      </c>
      <c r="E98" s="77"/>
      <c r="F98" s="77"/>
      <c r="G98" s="77"/>
      <c r="H98" s="77"/>
      <c r="I98" s="77"/>
      <c r="J98" s="77"/>
      <c r="K98" s="77"/>
      <c r="L98" s="77"/>
      <c r="M98" s="77"/>
      <c r="N98" s="78"/>
      <c r="O98" s="76"/>
      <c r="P98" s="78"/>
      <c r="Q98" s="38"/>
    </row>
    <row r="99" spans="2:17" x14ac:dyDescent="0.25">
      <c r="B99" s="76" t="s">
        <v>46</v>
      </c>
      <c r="C99" s="36" t="s">
        <v>109</v>
      </c>
      <c r="D99" s="37" t="s">
        <v>118</v>
      </c>
      <c r="E99" s="77"/>
      <c r="F99" s="77"/>
      <c r="G99" s="77"/>
      <c r="H99" s="77"/>
      <c r="I99" s="77"/>
      <c r="J99" s="77"/>
      <c r="K99" s="77"/>
      <c r="L99" s="77"/>
      <c r="M99" s="77"/>
      <c r="N99" s="78"/>
      <c r="O99" s="76"/>
      <c r="P99" s="78"/>
      <c r="Q99" s="38"/>
    </row>
    <row r="100" spans="2:17" x14ac:dyDescent="0.25">
      <c r="B100" s="123" t="s">
        <v>47</v>
      </c>
      <c r="C100" s="124"/>
      <c r="D100" s="125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2"/>
    </row>
  </sheetData>
  <mergeCells count="2">
    <mergeCell ref="B2:Q2"/>
    <mergeCell ref="B100:D100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6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66CD-08DF-4132-94AC-A3F802E35CD0}">
  <sheetPr>
    <pageSetUpPr fitToPage="1"/>
  </sheetPr>
  <dimension ref="B1:E36"/>
  <sheetViews>
    <sheetView zoomScale="90" zoomScaleNormal="90" workbookViewId="0">
      <selection activeCell="E4" sqref="E4"/>
    </sheetView>
  </sheetViews>
  <sheetFormatPr defaultRowHeight="15" x14ac:dyDescent="0.25"/>
  <cols>
    <col min="2" max="2" width="10.42578125" customWidth="1"/>
    <col min="3" max="3" width="31.85546875" bestFit="1" customWidth="1"/>
    <col min="4" max="4" width="58" customWidth="1"/>
    <col min="5" max="5" width="24.140625" bestFit="1" customWidth="1"/>
  </cols>
  <sheetData>
    <row r="1" spans="2:5" x14ac:dyDescent="0.25">
      <c r="B1" s="6" t="s">
        <v>83</v>
      </c>
      <c r="C1" s="6"/>
    </row>
    <row r="2" spans="2:5" ht="48" customHeight="1" x14ac:dyDescent="0.25">
      <c r="B2" s="126" t="s">
        <v>61</v>
      </c>
      <c r="C2" s="126"/>
      <c r="D2" s="126"/>
      <c r="E2" s="126"/>
    </row>
    <row r="3" spans="2:5" ht="15.75" x14ac:dyDescent="0.25">
      <c r="B3" s="5" t="s">
        <v>67</v>
      </c>
      <c r="C3" s="5" t="s">
        <v>0</v>
      </c>
      <c r="D3" s="5" t="s">
        <v>64</v>
      </c>
      <c r="E3" s="5" t="s">
        <v>127</v>
      </c>
    </row>
    <row r="4" spans="2:5" x14ac:dyDescent="0.25">
      <c r="B4" s="67">
        <v>1</v>
      </c>
      <c r="C4" s="40" t="s">
        <v>128</v>
      </c>
      <c r="D4" s="65">
        <v>46044</v>
      </c>
      <c r="E4" s="94"/>
    </row>
    <row r="5" spans="2:5" x14ac:dyDescent="0.25">
      <c r="B5" s="71">
        <v>2</v>
      </c>
      <c r="C5" s="37"/>
      <c r="D5" s="63"/>
      <c r="E5" s="95"/>
    </row>
    <row r="6" spans="2:5" x14ac:dyDescent="0.25">
      <c r="B6" s="67">
        <v>3</v>
      </c>
      <c r="C6" s="40"/>
      <c r="D6" s="65"/>
      <c r="E6" s="94"/>
    </row>
    <row r="7" spans="2:5" x14ac:dyDescent="0.25">
      <c r="B7" s="71">
        <v>4</v>
      </c>
      <c r="C7" s="37"/>
      <c r="D7" s="63"/>
      <c r="E7" s="95"/>
    </row>
    <row r="8" spans="2:5" x14ac:dyDescent="0.25">
      <c r="B8" s="67">
        <v>5</v>
      </c>
      <c r="C8" s="40"/>
      <c r="D8" s="65"/>
      <c r="E8" s="94"/>
    </row>
    <row r="9" spans="2:5" x14ac:dyDescent="0.25">
      <c r="B9" s="71"/>
      <c r="C9" s="37"/>
      <c r="D9" s="37"/>
      <c r="E9" s="95"/>
    </row>
    <row r="10" spans="2:5" x14ac:dyDescent="0.25">
      <c r="B10" s="67"/>
      <c r="C10" s="40"/>
      <c r="D10" s="40"/>
      <c r="E10" s="94"/>
    </row>
    <row r="11" spans="2:5" x14ac:dyDescent="0.25">
      <c r="B11" s="71"/>
      <c r="C11" s="37"/>
      <c r="D11" s="37"/>
      <c r="E11" s="95"/>
    </row>
    <row r="12" spans="2:5" x14ac:dyDescent="0.25">
      <c r="B12" s="67"/>
      <c r="C12" s="40"/>
      <c r="D12" s="40"/>
      <c r="E12" s="94"/>
    </row>
    <row r="13" spans="2:5" x14ac:dyDescent="0.25">
      <c r="B13" s="71"/>
      <c r="C13" s="37"/>
      <c r="D13" s="37"/>
      <c r="E13" s="95"/>
    </row>
    <row r="14" spans="2:5" x14ac:dyDescent="0.25">
      <c r="B14" s="67"/>
      <c r="C14" s="40"/>
      <c r="D14" s="40"/>
      <c r="E14" s="94"/>
    </row>
    <row r="15" spans="2:5" x14ac:dyDescent="0.25">
      <c r="B15" s="71"/>
      <c r="C15" s="37"/>
      <c r="D15" s="37"/>
      <c r="E15" s="95"/>
    </row>
    <row r="16" spans="2:5" x14ac:dyDescent="0.25">
      <c r="B16" s="67"/>
      <c r="C16" s="40"/>
      <c r="D16" s="40"/>
      <c r="E16" s="94"/>
    </row>
    <row r="17" spans="2:5" x14ac:dyDescent="0.25">
      <c r="B17" s="71"/>
      <c r="C17" s="37"/>
      <c r="D17" s="37"/>
      <c r="E17" s="95"/>
    </row>
    <row r="18" spans="2:5" x14ac:dyDescent="0.25">
      <c r="B18" s="67"/>
      <c r="C18" s="40"/>
      <c r="D18" s="40"/>
      <c r="E18" s="94"/>
    </row>
    <row r="19" spans="2:5" x14ac:dyDescent="0.25">
      <c r="B19" s="71"/>
      <c r="C19" s="37"/>
      <c r="D19" s="37"/>
      <c r="E19" s="95"/>
    </row>
    <row r="20" spans="2:5" x14ac:dyDescent="0.25">
      <c r="B20" s="67"/>
      <c r="C20" s="40"/>
      <c r="D20" s="40"/>
      <c r="E20" s="94"/>
    </row>
    <row r="21" spans="2:5" x14ac:dyDescent="0.25">
      <c r="B21" s="71"/>
      <c r="C21" s="37"/>
      <c r="D21" s="37"/>
      <c r="E21" s="95"/>
    </row>
    <row r="22" spans="2:5" x14ac:dyDescent="0.25">
      <c r="B22" s="67"/>
      <c r="C22" s="40"/>
      <c r="D22" s="40"/>
      <c r="E22" s="94"/>
    </row>
    <row r="23" spans="2:5" x14ac:dyDescent="0.25">
      <c r="B23" s="71"/>
      <c r="C23" s="37"/>
      <c r="D23" s="37"/>
      <c r="E23" s="95"/>
    </row>
    <row r="24" spans="2:5" x14ac:dyDescent="0.25">
      <c r="B24" s="67"/>
      <c r="C24" s="40"/>
      <c r="D24" s="40"/>
      <c r="E24" s="94"/>
    </row>
    <row r="25" spans="2:5" x14ac:dyDescent="0.25">
      <c r="B25" s="71"/>
      <c r="C25" s="37"/>
      <c r="D25" s="37"/>
      <c r="E25" s="95"/>
    </row>
    <row r="26" spans="2:5" x14ac:dyDescent="0.25">
      <c r="B26" s="67"/>
      <c r="C26" s="40"/>
      <c r="D26" s="40"/>
      <c r="E26" s="94"/>
    </row>
    <row r="27" spans="2:5" x14ac:dyDescent="0.25">
      <c r="B27" s="71"/>
      <c r="C27" s="37"/>
      <c r="D27" s="37"/>
      <c r="E27" s="95"/>
    </row>
    <row r="28" spans="2:5" x14ac:dyDescent="0.25">
      <c r="B28" s="67"/>
      <c r="C28" s="40"/>
      <c r="D28" s="40"/>
      <c r="E28" s="94"/>
    </row>
    <row r="29" spans="2:5" x14ac:dyDescent="0.25">
      <c r="B29" s="71"/>
      <c r="C29" s="37"/>
      <c r="D29" s="37"/>
      <c r="E29" s="95"/>
    </row>
    <row r="30" spans="2:5" x14ac:dyDescent="0.25">
      <c r="B30" s="67"/>
      <c r="C30" s="40"/>
      <c r="D30" s="40"/>
      <c r="E30" s="94"/>
    </row>
    <row r="31" spans="2:5" x14ac:dyDescent="0.25">
      <c r="B31" s="71"/>
      <c r="C31" s="37"/>
      <c r="D31" s="37"/>
      <c r="E31" s="95"/>
    </row>
    <row r="32" spans="2:5" x14ac:dyDescent="0.25">
      <c r="B32" s="67"/>
      <c r="C32" s="40"/>
      <c r="D32" s="40"/>
      <c r="E32" s="94"/>
    </row>
    <row r="33" spans="2:5" x14ac:dyDescent="0.25">
      <c r="B33" s="71"/>
      <c r="C33" s="37"/>
      <c r="D33" s="37"/>
      <c r="E33" s="95"/>
    </row>
    <row r="34" spans="2:5" x14ac:dyDescent="0.25">
      <c r="B34" s="67"/>
      <c r="C34" s="40"/>
      <c r="D34" s="40"/>
      <c r="E34" s="94"/>
    </row>
    <row r="35" spans="2:5" x14ac:dyDescent="0.25">
      <c r="B35" s="71"/>
      <c r="C35" s="37"/>
      <c r="D35" s="37"/>
      <c r="E35" s="95"/>
    </row>
    <row r="36" spans="2:5" x14ac:dyDescent="0.25">
      <c r="B36" s="68"/>
      <c r="C36" s="69"/>
      <c r="D36" s="69"/>
      <c r="E36" s="100"/>
    </row>
  </sheetData>
  <mergeCells count="1">
    <mergeCell ref="B2:E2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8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Ação 3.04</vt:lpstr>
      <vt:lpstr>Ação 3.05</vt:lpstr>
      <vt:lpstr>Ação 3.08</vt:lpstr>
      <vt:lpstr>Ação 4.05</vt:lpstr>
      <vt:lpstr>Ação 12.03</vt:lpstr>
      <vt:lpstr>Ação 53.04</vt:lpstr>
      <vt:lpstr>Meta 10</vt:lpstr>
      <vt:lpstr>Meta 48</vt:lpstr>
      <vt:lpstr>Meta 49</vt:lpstr>
      <vt:lpstr>Meta 50</vt:lpstr>
      <vt:lpstr>Meta 51</vt:lpstr>
      <vt:lpstr>Meta 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dos Santos de Souza</dc:creator>
  <cp:lastModifiedBy>Joao Gabriel Alves da Cunha Canto</cp:lastModifiedBy>
  <cp:lastPrinted>2025-11-14T19:32:49Z</cp:lastPrinted>
  <dcterms:created xsi:type="dcterms:W3CDTF">2025-09-24T14:35:41Z</dcterms:created>
  <dcterms:modified xsi:type="dcterms:W3CDTF">2026-02-10T19:00:35Z</dcterms:modified>
</cp:coreProperties>
</file>